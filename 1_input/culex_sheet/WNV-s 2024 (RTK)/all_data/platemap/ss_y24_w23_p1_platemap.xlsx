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<sst xmlns="http://schemas.openxmlformats.org/spreadsheetml/2006/main" count="244" uniqueCount="172">
  <si>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</si>
  <si>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</si>
  <si>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</si>
  <si>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</si>
  <si>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</si>
  <si>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</si>
  <si>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</si>
  <si>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</si>
  <si>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</si>
  <si>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</si>
  <si>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</si>
  <si>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</si>
  <si>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</si>
  <si>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</si>
  <si>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</si>
  <si>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</si>
  <si>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</si>
  <si>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</si>
  <si>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</si>
  <si>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</si>
  <si>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</si>
  <si>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</si>
  <si>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</si>
  <si>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</si>
  <si>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</si>
  <si>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</si>
  <si>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</si>
  <si>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</si>
  <si>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</si>
  <si>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</si>
  <si>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</si>
  <si>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</si>
  <si>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</si>
  <si>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</si>
  <si>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</si>
  <si>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</si>
  <si>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</si>
  <si>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</si>
  <si>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</si>
  <si>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</si>
  <si>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</si>
  <si>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</si>
  <si>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</si>
  <si>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</si>
  <si>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</si>
  <si>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</si>
  <si>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</si>
  <si>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</si>
  <si>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</si>
  <si>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</si>
  <si>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</si>
  <si>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</si>
  <si>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</si>
  <si>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</si>
  <si>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</si>
  <si>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</si>
  <si>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</si>
  <si>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</si>
  <si>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</si>
  <si>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</si>
  <si>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</si>
  <si>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</si>
  <si>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</si>
  <si>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</si>
  <si>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</si>
  <si>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</si>
  <si>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</si>
  <si>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</si>
  <si>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</si>
  <si>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</si>
  <si>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</si>
  <si>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</si>
  <si>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</si>
  <si>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</si>
  <si>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</si>
  <si>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</si>
  <si>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</si>
  <si>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</si>
  <si>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</si>
  <si>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</si>
  <si>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</si>
  <si>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</si>
  <si>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</si>
  <si>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</si>
  <si>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</si>
  <si>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</si>
  <si>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CSU-21755</t>
  </si>
  <si>
    <t>CSU-21763</t>
  </si>
  <si>
    <t>CSU-21771</t>
  </si>
  <si>
    <t>CSU-21779</t>
  </si>
  <si>
    <t>CSU-21787</t>
  </si>
  <si>
    <t>CSU-21795</t>
  </si>
  <si>
    <t>CSU-21803</t>
  </si>
  <si>
    <t>RMRP-00420</t>
  </si>
  <si>
    <t>WNV, 1E7</t>
  </si>
  <si>
    <t>SLEV, 1E7</t>
  </si>
  <si>
    <t>CSU-21756</t>
  </si>
  <si>
    <t>CSU-21764</t>
  </si>
  <si>
    <t>CSU-21772</t>
  </si>
  <si>
    <t>CSU-21780</t>
  </si>
  <si>
    <t>CSU-21788</t>
  </si>
  <si>
    <t>CSU-21796</t>
  </si>
  <si>
    <t>CSU-21804</t>
  </si>
  <si>
    <t>WNV, 1E6</t>
  </si>
  <si>
    <t>SLEV, 1E6</t>
  </si>
  <si>
    <t>CSU-21757</t>
  </si>
  <si>
    <t>CSU-21765</t>
  </si>
  <si>
    <t>CSU-21773</t>
  </si>
  <si>
    <t>CSU-21781</t>
  </si>
  <si>
    <t>CSU-21789</t>
  </si>
  <si>
    <t>CSU-21797</t>
  </si>
  <si>
    <t>CSU-21805</t>
  </si>
  <si>
    <t>WNV, 1E5</t>
  </si>
  <si>
    <t>SLEV, 1E5</t>
  </si>
  <si>
    <t>CSU-21758</t>
  </si>
  <si>
    <t>CSU-21766</t>
  </si>
  <si>
    <t>CSU-21774</t>
  </si>
  <si>
    <t>CSU-21782</t>
  </si>
  <si>
    <t>CSU-21790</t>
  </si>
  <si>
    <t>CSU-21798</t>
  </si>
  <si>
    <t>RMRP-00415</t>
  </si>
  <si>
    <t>WNV, 1E4</t>
  </si>
  <si>
    <t>SLEV, 1E4</t>
  </si>
  <si>
    <t>CSU-21759</t>
  </si>
  <si>
    <t>CSU-21767</t>
  </si>
  <si>
    <t>CSU-21775</t>
  </si>
  <si>
    <t>CSU-21783</t>
  </si>
  <si>
    <t>CSU-21791</t>
  </si>
  <si>
    <t>CSU-21799</t>
  </si>
  <si>
    <t>RMRP-00416</t>
  </si>
  <si>
    <t>WNV, 1E3</t>
  </si>
  <si>
    <t>SLEV, 1E3</t>
  </si>
  <si>
    <t>CSU-21760</t>
  </si>
  <si>
    <t>CSU-21768</t>
  </si>
  <si>
    <t>CSU-21776</t>
  </si>
  <si>
    <t>CSU-21784</t>
  </si>
  <si>
    <t>CSU-21792</t>
  </si>
  <si>
    <t>CSU-21800</t>
  </si>
  <si>
    <t>RMRP-00417</t>
  </si>
  <si>
    <t>WNV, 1E2</t>
  </si>
  <si>
    <t>SLEV, 1E2</t>
  </si>
  <si>
    <t>CSU-21761</t>
  </si>
  <si>
    <t>CSU-21769</t>
  </si>
  <si>
    <t>CSU-21777</t>
  </si>
  <si>
    <t>CSU-21785</t>
  </si>
  <si>
    <t>CSU-21793</t>
  </si>
  <si>
    <t>CSU-21801</t>
  </si>
  <si>
    <t>RMRP-00418</t>
  </si>
  <si>
    <t>WNV, 1E1</t>
  </si>
  <si>
    <t>SLEV, 1E1</t>
  </si>
  <si>
    <t>CSU-21762</t>
  </si>
  <si>
    <t>CSU-21770</t>
  </si>
  <si>
    <t>CSU-21778</t>
  </si>
  <si>
    <t>CSU-21786</t>
  </si>
  <si>
    <t>CSU-21794</t>
  </si>
  <si>
    <t>CSU-21802</t>
  </si>
  <si>
    <t>RMRP-00419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</si>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</sst>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Border="1" applyFont="1"/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9" fillId="3" fontId="3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Border="1" applyFont="1"/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Font="1"/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</row>
    <row r="3">
      <c r="A3" s="9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16</v>
      </c>
    </row>
    <row r="4">
      <c r="A4" s="9" t="s">
        <v>17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18</v>
      </c>
    </row>
    <row r="5">
      <c r="A5" s="9" t="s">
        <v>19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20</v>
      </c>
    </row>
    <row r="6">
      <c r="A6" s="9" t="s">
        <v>21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22</v>
      </c>
    </row>
    <row r="7">
      <c r="A7" s="9" t="s">
        <v>23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24</v>
      </c>
    </row>
    <row r="8">
      <c r="A8" s="9" t="s">
        <v>25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3" t="s">
        <v>26</v>
      </c>
    </row>
    <row r="9">
      <c r="A9" s="14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 t="s">
        <v>28</v>
      </c>
      <c r="M9" s="17" t="s">
        <v>29</v>
      </c>
    </row>
    <row r="11">
      <c r="F11" s="18" t="s">
        <v>30</v>
      </c>
      <c r="H11" s="19" t="s">
        <v>31</v>
      </c>
    </row>
    <row r="12">
      <c r="A12" s="20" t="s">
        <v>32</v>
      </c>
      <c r="B12" s="21"/>
      <c r="C12" s="22"/>
      <c r="F12" s="23" t="s">
        <v>33</v>
      </c>
      <c r="G12" s="24"/>
      <c r="H12" s="24"/>
      <c r="I12" s="24"/>
      <c r="J12" s="25"/>
    </row>
    <row r="13">
      <c r="F13" s="26" t="s">
        <v>34</v>
      </c>
      <c r="I13" s="27"/>
      <c r="J13" s="28" t="b">
        <v>0</v>
      </c>
    </row>
    <row r="14">
      <c r="A14" s="23" t="s">
        <v>35</v>
      </c>
      <c r="B14" s="24"/>
      <c r="C14" s="25"/>
      <c r="F14" s="29" t="s">
        <v>36</v>
      </c>
      <c r="G14" s="30"/>
      <c r="H14" s="30"/>
      <c r="I14" s="31"/>
      <c r="J14" s="32" t="b">
        <v>0</v>
      </c>
    </row>
    <row r="15">
      <c r="A15" s="33" t="s">
        <v>37</v>
      </c>
      <c r="B15" s="34" t="s">
        <v>38</v>
      </c>
      <c r="C15" s="35" t="s">
        <v>39</v>
      </c>
      <c r="F15" s="29" t="s">
        <v>40</v>
      </c>
      <c r="G15" s="30"/>
      <c r="H15" s="30"/>
      <c r="I15" s="31"/>
      <c r="J15" s="32" t="b">
        <v>0</v>
      </c>
    </row>
    <row r="16">
      <c r="A16" s="36"/>
      <c r="B16" s="37"/>
      <c r="C16" s="38"/>
      <c r="F16" s="29" t="s">
        <v>41</v>
      </c>
      <c r="G16" s="30"/>
      <c r="H16" s="30"/>
      <c r="I16" s="31"/>
      <c r="J16" s="32" t="b">
        <v>0</v>
      </c>
    </row>
    <row r="17">
      <c r="A17" s="36" t="s">
        <v>42</v>
      </c>
      <c r="B17" s="37" t="s">
        <v>43</v>
      </c>
      <c r="C17" s="38" t="s">
        <v>44</v>
      </c>
      <c r="F17" s="29" t="s">
        <v>45</v>
      </c>
      <c r="G17" s="30"/>
      <c r="H17" s="30"/>
      <c r="I17" s="31"/>
      <c r="J17" s="32" t="b">
        <v>0</v>
      </c>
    </row>
    <row r="18">
      <c r="A18" s="36" t="s">
        <v>46</v>
      </c>
      <c r="B18" s="37" t="s">
        <v>43</v>
      </c>
      <c r="C18" s="39"/>
      <c r="F18" s="29" t="s">
        <v>47</v>
      </c>
      <c r="G18" s="30"/>
      <c r="H18" s="30"/>
      <c r="I18" s="31"/>
      <c r="J18" s="32" t="b">
        <v>0</v>
      </c>
    </row>
    <row r="19">
      <c r="A19" s="36" t="s">
        <v>48</v>
      </c>
      <c r="B19" s="37" t="s">
        <v>43</v>
      </c>
      <c r="C19" s="39"/>
      <c r="F19" s="29" t="s">
        <v>49</v>
      </c>
      <c r="G19" s="30"/>
      <c r="H19" s="30"/>
      <c r="I19" s="31"/>
      <c r="J19" s="32" t="b">
        <v>0</v>
      </c>
    </row>
    <row r="20">
      <c r="A20" s="36" t="s">
        <v>50</v>
      </c>
      <c r="B20" s="37" t="s">
        <v>43</v>
      </c>
      <c r="C20" s="39"/>
      <c r="F20" s="29" t="s">
        <v>51</v>
      </c>
      <c r="G20" s="30"/>
      <c r="H20" s="30"/>
      <c r="I20" s="31"/>
      <c r="J20" s="32" t="b">
        <v>0</v>
      </c>
    </row>
    <row r="21">
      <c r="A21" s="36" t="s">
        <v>52</v>
      </c>
      <c r="B21" s="37" t="s">
        <v>43</v>
      </c>
      <c r="C21" s="39"/>
      <c r="F21" s="29" t="s">
        <v>53</v>
      </c>
      <c r="G21" s="30"/>
      <c r="H21" s="30"/>
      <c r="I21" s="31"/>
      <c r="J21" s="32" t="b">
        <v>0</v>
      </c>
    </row>
    <row r="22">
      <c r="A22" s="36" t="s">
        <v>54</v>
      </c>
      <c r="B22" s="37" t="s">
        <v>43</v>
      </c>
      <c r="C22" s="39"/>
      <c r="F22" s="29" t="s">
        <v>55</v>
      </c>
      <c r="G22" s="30"/>
      <c r="H22" s="30"/>
      <c r="I22" s="31"/>
      <c r="J22" s="32" t="b">
        <v>0</v>
      </c>
    </row>
    <row r="23">
      <c r="A23" s="36" t="s">
        <v>56</v>
      </c>
      <c r="B23" s="37" t="s">
        <v>43</v>
      </c>
      <c r="C23" s="39"/>
      <c r="F23" s="29" t="s">
        <v>57</v>
      </c>
      <c r="G23" s="30"/>
      <c r="H23" s="30"/>
      <c r="I23" s="31"/>
      <c r="J23" s="32" t="b">
        <v>0</v>
      </c>
    </row>
    <row r="24">
      <c r="A24" s="36" t="s">
        <v>58</v>
      </c>
      <c r="B24" s="37" t="s">
        <v>43</v>
      </c>
      <c r="C24" s="39"/>
      <c r="F24" s="29" t="s">
        <v>59</v>
      </c>
      <c r="G24" s="30"/>
      <c r="H24" s="30"/>
      <c r="I24" s="31"/>
      <c r="J24" s="32" t="b">
        <v>0</v>
      </c>
    </row>
    <row r="25">
      <c r="A25" s="40" t="s">
        <v>60</v>
      </c>
      <c r="B25" s="41" t="s">
        <v>43</v>
      </c>
      <c r="C25" s="42"/>
      <c r="F25" s="43" t="s">
        <v>61</v>
      </c>
      <c r="G25" s="44"/>
      <c r="H25" s="44"/>
      <c r="I25" s="45"/>
      <c r="J25" s="28" t="b">
        <v>0</v>
      </c>
    </row>
    <row r="26">
      <c r="A26" s="46"/>
      <c r="B26" s="47"/>
      <c r="C26" s="46"/>
    </row>
    <row r="28" ht="50.25" customHeight="1">
      <c r="A28" s="48" t="s">
        <v>62</v>
      </c>
      <c r="B28" s="30"/>
      <c r="C28" s="31"/>
      <c r="F28" s="49" t="s">
        <v>63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64</v>
      </c>
      <c r="B29" s="53">
        <f>COUNTA($B$2:$L$9,$M$9)</f>
        <v>2</v>
      </c>
      <c r="C29" s="54" t="s">
        <v>65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66</v>
      </c>
      <c r="B30" s="58">
        <v>1.2</v>
      </c>
      <c r="C30" s="54" t="s">
        <v>67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68</v>
      </c>
      <c r="B32" s="24"/>
      <c r="C32" s="25"/>
      <c r="F32" s="59"/>
      <c r="M32" s="60"/>
    </row>
    <row r="33">
      <c r="A33" s="64" t="s">
        <v>69</v>
      </c>
      <c r="B33" s="65" t="s">
        <v>70</v>
      </c>
      <c r="C33" s="66" t="s">
        <v>71</v>
      </c>
      <c r="D33" s="67" t="s">
        <v>72</v>
      </c>
      <c r="F33" s="59"/>
      <c r="M33" s="60"/>
    </row>
    <row r="34">
      <c r="A34" s="68" t="s">
        <v>73</v>
      </c>
      <c r="B34" s="69">
        <v>60.0</v>
      </c>
      <c r="C34" s="70">
        <f t="shared" ref="C34:C37" si="1">B34*$B$29*$B$30</f>
        <v>144</v>
      </c>
      <c r="D34" s="71" t="b">
        <v>0</v>
      </c>
      <c r="F34" s="59"/>
      <c r="M34" s="60"/>
    </row>
    <row r="35">
      <c r="A35" s="68" t="s">
        <v>52</v>
      </c>
      <c r="B35" s="69">
        <v>1.0</v>
      </c>
      <c r="C35" s="70">
        <f t="shared" si="1"/>
        <v>2.4</v>
      </c>
      <c r="D35" s="71" t="b">
        <v>0</v>
      </c>
      <c r="F35" s="59"/>
      <c r="M35" s="60"/>
    </row>
    <row r="36">
      <c r="A36" s="68" t="s">
        <v>74</v>
      </c>
      <c r="B36" s="69">
        <v>70.0</v>
      </c>
      <c r="C36" s="70">
        <f t="shared" si="1"/>
        <v>168</v>
      </c>
      <c r="D36" s="71" t="b">
        <v>0</v>
      </c>
      <c r="F36" s="59"/>
      <c r="M36" s="60"/>
    </row>
    <row r="37">
      <c r="A37" s="72" t="s">
        <v>75</v>
      </c>
      <c r="B37" s="73">
        <f>sum(B34:B36)</f>
        <v>131</v>
      </c>
      <c r="C37" s="70">
        <f t="shared" si="1"/>
        <v>314.4</v>
      </c>
      <c r="F37" s="59"/>
      <c r="M37" s="60"/>
    </row>
    <row r="38">
      <c r="A38" s="74" t="s">
        <v>76</v>
      </c>
      <c r="B38" s="47">
        <v>8.0</v>
      </c>
      <c r="C38" s="75">
        <f>C37/B38</f>
        <v>39.3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77</v>
      </c>
      <c r="B40" s="78" t="s">
        <v>70</v>
      </c>
      <c r="C40" s="79" t="s">
        <v>71</v>
      </c>
      <c r="F40" s="59"/>
      <c r="M40" s="60"/>
    </row>
    <row r="41">
      <c r="A41" s="80" t="s">
        <v>78</v>
      </c>
      <c r="B41" s="81">
        <v>5.0</v>
      </c>
      <c r="C41" s="70">
        <f t="shared" ref="C41:C43" si="2">B41*$B$29*$B$30</f>
        <v>12</v>
      </c>
      <c r="D41" s="82" t="b">
        <v>0</v>
      </c>
      <c r="F41" s="59"/>
      <c r="M41" s="60"/>
    </row>
    <row r="42">
      <c r="A42" s="80" t="s">
        <v>79</v>
      </c>
      <c r="B42" s="81">
        <v>5.0</v>
      </c>
      <c r="C42" s="70">
        <f t="shared" si="2"/>
        <v>12</v>
      </c>
      <c r="D42" s="71" t="b">
        <v>0</v>
      </c>
      <c r="F42" s="59"/>
      <c r="M42" s="60"/>
    </row>
    <row r="43">
      <c r="A43" s="83" t="s">
        <v>75</v>
      </c>
      <c r="B43" s="84">
        <f>sum(B41:B42)</f>
        <v>10</v>
      </c>
      <c r="C43" s="70">
        <f t="shared" si="2"/>
        <v>24</v>
      </c>
      <c r="D43" s="71" t="b">
        <v>0</v>
      </c>
      <c r="F43" s="59"/>
      <c r="M43" s="60"/>
    </row>
    <row r="44">
      <c r="A44" s="85" t="s">
        <v>76</v>
      </c>
      <c r="B44" s="86">
        <v>8.0</v>
      </c>
      <c r="C44" s="87">
        <f>C43/B44</f>
        <v>3</v>
      </c>
      <c r="F44" s="59"/>
      <c r="M44" s="60"/>
    </row>
    <row r="45">
      <c r="F45" s="88" t="s">
        <v>80</v>
      </c>
      <c r="G45" s="89"/>
      <c r="H45" s="89"/>
      <c r="I45" s="89"/>
      <c r="J45" s="89"/>
      <c r="K45" s="89"/>
      <c r="L45" s="89"/>
      <c r="M45" s="90"/>
    </row>
    <row r="46">
      <c r="A46" s="91" t="s">
        <v>81</v>
      </c>
      <c r="B46" s="91" t="s">
        <v>82</v>
      </c>
      <c r="C46" s="91" t="s">
        <v>83</v>
      </c>
    </row>
    <row r="47">
      <c r="A47" s="92" t="s">
        <v>84</v>
      </c>
      <c r="B47" s="93">
        <v>200.0</v>
      </c>
      <c r="C47" s="94">
        <f>2*B47*$B$29*$B$30</f>
        <v>960</v>
      </c>
      <c r="D47" s="71" t="b">
        <v>0</v>
      </c>
    </row>
    <row r="48">
      <c r="A48" s="92" t="s">
        <v>58</v>
      </c>
      <c r="B48" s="93">
        <v>200.0</v>
      </c>
      <c r="C48" s="94">
        <f t="shared" ref="C48:C49" si="3">B48*$B$29*$B$30</f>
        <v>480</v>
      </c>
      <c r="D48" s="71" t="b">
        <v>0</v>
      </c>
    </row>
    <row r="49">
      <c r="A49" s="95" t="s">
        <v>85</v>
      </c>
      <c r="B49" s="94">
        <v>50.0</v>
      </c>
      <c r="C49" s="94">
        <f t="shared" si="3"/>
        <v>120</v>
      </c>
      <c r="D49" s="71" t="b">
        <v>0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 t="s">
        <v>26</v>
      </c>
      <c r="K2" s="96" t="s">
        <v>14</v>
      </c>
      <c r="L2" s="10" t="s">
        <v>94</v>
      </c>
      <c r="M2" s="10" t="s">
        <v>95</v>
      </c>
    </row>
    <row r="3">
      <c r="A3" s="9" t="s">
        <v>15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  <c r="H3" s="10" t="s">
        <v>102</v>
      </c>
      <c r="I3" s="96" t="s">
        <v>20</v>
      </c>
      <c r="J3" s="10" t="s">
        <v>26</v>
      </c>
      <c r="K3" s="96" t="s">
        <v>14</v>
      </c>
      <c r="L3" s="10" t="s">
        <v>103</v>
      </c>
      <c r="M3" s="10" t="s">
        <v>104</v>
      </c>
    </row>
    <row r="4">
      <c r="A4" s="9" t="s">
        <v>17</v>
      </c>
      <c r="B4" s="10" t="s">
        <v>105</v>
      </c>
      <c r="C4" s="10" t="s">
        <v>106</v>
      </c>
      <c r="D4" s="10" t="s">
        <v>107</v>
      </c>
      <c r="E4" s="10" t="s">
        <v>108</v>
      </c>
      <c r="F4" s="10" t="s">
        <v>109</v>
      </c>
      <c r="G4" s="10" t="s">
        <v>110</v>
      </c>
      <c r="H4" s="10" t="s">
        <v>111</v>
      </c>
      <c r="I4" s="96" t="s">
        <v>20</v>
      </c>
      <c r="J4" s="10" t="s">
        <v>26</v>
      </c>
      <c r="K4" s="97" t="s">
        <v>16</v>
      </c>
      <c r="L4" s="10" t="s">
        <v>112</v>
      </c>
      <c r="M4" s="10" t="s">
        <v>113</v>
      </c>
    </row>
    <row r="5">
      <c r="A5" s="9" t="s">
        <v>19</v>
      </c>
      <c r="B5" s="10" t="s">
        <v>114</v>
      </c>
      <c r="C5" s="10" t="s">
        <v>115</v>
      </c>
      <c r="D5" s="10" t="s">
        <v>116</v>
      </c>
      <c r="E5" s="10" t="s">
        <v>117</v>
      </c>
      <c r="F5" s="10" t="s">
        <v>118</v>
      </c>
      <c r="G5" s="10" t="s">
        <v>119</v>
      </c>
      <c r="H5" s="10" t="s">
        <v>120</v>
      </c>
      <c r="I5" s="97" t="s">
        <v>22</v>
      </c>
      <c r="J5" s="10" t="s">
        <v>26</v>
      </c>
      <c r="K5" s="97" t="s">
        <v>16</v>
      </c>
      <c r="L5" s="10" t="s">
        <v>121</v>
      </c>
      <c r="M5" s="10" t="s">
        <v>122</v>
      </c>
    </row>
    <row r="6">
      <c r="A6" s="9" t="s">
        <v>21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  <c r="I6" s="97" t="s">
        <v>22</v>
      </c>
      <c r="J6" s="10" t="s">
        <v>26</v>
      </c>
      <c r="K6" s="98" t="s">
        <v>18</v>
      </c>
      <c r="L6" s="10" t="s">
        <v>130</v>
      </c>
      <c r="M6" s="10" t="s">
        <v>131</v>
      </c>
    </row>
    <row r="7">
      <c r="A7" s="9" t="s">
        <v>23</v>
      </c>
      <c r="B7" s="10" t="s">
        <v>132</v>
      </c>
      <c r="C7" s="10" t="s">
        <v>133</v>
      </c>
      <c r="D7" s="10" t="s">
        <v>134</v>
      </c>
      <c r="E7" s="10" t="s">
        <v>135</v>
      </c>
      <c r="F7" s="10" t="s">
        <v>136</v>
      </c>
      <c r="G7" s="10" t="s">
        <v>137</v>
      </c>
      <c r="H7" s="10" t="s">
        <v>138</v>
      </c>
      <c r="I7" s="98" t="s">
        <v>24</v>
      </c>
      <c r="J7" s="10" t="s">
        <v>26</v>
      </c>
      <c r="K7" s="98" t="s">
        <v>18</v>
      </c>
      <c r="L7" s="10" t="s">
        <v>139</v>
      </c>
      <c r="M7" s="10" t="s">
        <v>140</v>
      </c>
    </row>
    <row r="8">
      <c r="A8" s="9" t="s">
        <v>25</v>
      </c>
      <c r="B8" s="10" t="s">
        <v>141</v>
      </c>
      <c r="C8" s="10" t="s">
        <v>142</v>
      </c>
      <c r="D8" s="10" t="s">
        <v>143</v>
      </c>
      <c r="E8" s="10" t="s">
        <v>144</v>
      </c>
      <c r="F8" s="10" t="s">
        <v>145</v>
      </c>
      <c r="G8" s="10" t="s">
        <v>146</v>
      </c>
      <c r="H8" s="10" t="s">
        <v>147</v>
      </c>
      <c r="I8" s="98" t="s">
        <v>24</v>
      </c>
      <c r="J8" s="10" t="s">
        <v>26</v>
      </c>
      <c r="K8" s="10" t="s">
        <v>26</v>
      </c>
      <c r="L8" s="10" t="s">
        <v>148</v>
      </c>
      <c r="M8" s="10" t="s">
        <v>149</v>
      </c>
    </row>
    <row r="9">
      <c r="A9" s="14" t="s">
        <v>27</v>
      </c>
      <c r="B9" s="10" t="s">
        <v>150</v>
      </c>
      <c r="C9" s="10" t="s">
        <v>151</v>
      </c>
      <c r="D9" s="10" t="s">
        <v>152</v>
      </c>
      <c r="E9" s="10" t="s">
        <v>153</v>
      </c>
      <c r="F9" s="10" t="s">
        <v>154</v>
      </c>
      <c r="G9" s="10" t="s">
        <v>155</v>
      </c>
      <c r="H9" s="10" t="s">
        <v>156</v>
      </c>
      <c r="I9" s="10" t="s">
        <v>26</v>
      </c>
      <c r="J9" s="10" t="s">
        <v>26</v>
      </c>
      <c r="K9" s="99" t="s">
        <v>28</v>
      </c>
      <c r="L9" s="10" t="s">
        <v>26</v>
      </c>
      <c r="M9" s="10" t="s">
        <v>26</v>
      </c>
    </row>
    <row r="11">
      <c r="A11" s="20" t="s">
        <v>32</v>
      </c>
      <c r="B11" s="21"/>
      <c r="C11" s="100"/>
    </row>
    <row r="13">
      <c r="E13" s="18" t="s">
        <v>30</v>
      </c>
      <c r="G13" s="19" t="s">
        <v>157</v>
      </c>
    </row>
    <row r="14">
      <c r="A14" s="101" t="s">
        <v>35</v>
      </c>
      <c r="B14" s="24"/>
      <c r="C14" s="25"/>
      <c r="E14" s="101" t="s">
        <v>33</v>
      </c>
      <c r="F14" s="24"/>
      <c r="G14" s="24"/>
      <c r="H14" s="24"/>
      <c r="I14" s="25"/>
    </row>
    <row r="15">
      <c r="A15" s="33" t="s">
        <v>37</v>
      </c>
      <c r="B15" s="34" t="s">
        <v>38</v>
      </c>
      <c r="C15" s="35" t="s">
        <v>39</v>
      </c>
      <c r="E15" s="102" t="s">
        <v>158</v>
      </c>
      <c r="F15" s="30"/>
      <c r="G15" s="30"/>
      <c r="H15" s="31"/>
      <c r="I15" s="103" t="b">
        <v>0</v>
      </c>
    </row>
    <row r="16">
      <c r="A16" s="104" t="s">
        <v>159</v>
      </c>
      <c r="B16" s="37" t="s">
        <v>43</v>
      </c>
      <c r="C16" s="105" t="s">
        <v>44</v>
      </c>
      <c r="E16" s="102" t="s">
        <v>160</v>
      </c>
      <c r="F16" s="30"/>
      <c r="G16" s="30"/>
      <c r="H16" s="31"/>
      <c r="I16" s="103" t="b">
        <v>0</v>
      </c>
    </row>
    <row r="17">
      <c r="A17" s="104" t="s">
        <v>161</v>
      </c>
      <c r="B17" s="37" t="s">
        <v>43</v>
      </c>
      <c r="C17" s="106"/>
      <c r="E17" s="102" t="s">
        <v>162</v>
      </c>
      <c r="F17" s="30"/>
      <c r="G17" s="30"/>
      <c r="H17" s="31"/>
      <c r="I17" s="103" t="b">
        <v>0</v>
      </c>
    </row>
    <row r="18">
      <c r="A18" s="104" t="s">
        <v>163</v>
      </c>
      <c r="B18" s="37" t="s">
        <v>43</v>
      </c>
      <c r="C18" s="105" t="s">
        <v>44</v>
      </c>
      <c r="E18" s="102" t="s">
        <v>164</v>
      </c>
      <c r="F18" s="30"/>
      <c r="G18" s="30"/>
      <c r="H18" s="31"/>
      <c r="I18" s="103" t="b">
        <v>0</v>
      </c>
    </row>
    <row r="19">
      <c r="A19" s="40" t="s">
        <v>165</v>
      </c>
      <c r="B19" s="41" t="s">
        <v>43</v>
      </c>
      <c r="C19" s="107"/>
      <c r="E19" s="102" t="s">
        <v>166</v>
      </c>
      <c r="F19" s="30"/>
      <c r="G19" s="30"/>
      <c r="H19" s="31"/>
      <c r="I19" s="103" t="b">
        <v>0</v>
      </c>
    </row>
    <row r="20">
      <c r="A20" s="46"/>
      <c r="B20" s="46"/>
      <c r="C20" s="46"/>
      <c r="E20" s="102" t="s">
        <v>167</v>
      </c>
      <c r="F20" s="30"/>
      <c r="G20" s="30"/>
      <c r="H20" s="31"/>
      <c r="I20" s="108" t="b">
        <v>0</v>
      </c>
    </row>
    <row r="21">
      <c r="A21" s="46"/>
      <c r="B21" s="46"/>
      <c r="C21" s="46"/>
      <c r="E21" s="109"/>
    </row>
    <row r="22">
      <c r="A22" s="110" t="s">
        <v>62</v>
      </c>
      <c r="B22" s="30"/>
      <c r="C22" s="31"/>
      <c r="E22" s="49" t="s">
        <v>63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64</v>
      </c>
      <c r="B23" s="53">
        <f>COUNTA($B$2:$M$9)</f>
        <v>96</v>
      </c>
      <c r="C23" s="54" t="s">
        <v>168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66</v>
      </c>
      <c r="B24" s="58">
        <v>1.2</v>
      </c>
      <c r="C24" s="54" t="s">
        <v>67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68</v>
      </c>
      <c r="B27" s="24"/>
      <c r="C27" s="25"/>
      <c r="E27" s="59"/>
      <c r="L27" s="60"/>
    </row>
    <row r="28">
      <c r="A28" s="64" t="s">
        <v>169</v>
      </c>
      <c r="B28" s="65" t="s">
        <v>70</v>
      </c>
      <c r="C28" s="66" t="s">
        <v>71</v>
      </c>
      <c r="E28" s="59"/>
      <c r="L28" s="60"/>
    </row>
    <row r="29">
      <c r="A29" s="112" t="s">
        <v>161</v>
      </c>
      <c r="B29" s="113">
        <v>10.0</v>
      </c>
      <c r="C29" s="70">
        <f t="shared" ref="C29:C31" si="1">B29*$B$23*$B$24</f>
        <v>1152</v>
      </c>
      <c r="E29" s="59"/>
      <c r="L29" s="60"/>
    </row>
    <row r="30">
      <c r="A30" s="112" t="s">
        <v>170</v>
      </c>
      <c r="B30" s="113">
        <v>4.0</v>
      </c>
      <c r="C30" s="70">
        <f t="shared" si="1"/>
        <v>460.8</v>
      </c>
      <c r="E30" s="59"/>
      <c r="L30" s="60"/>
    </row>
    <row r="31">
      <c r="A31" s="112" t="s">
        <v>171</v>
      </c>
      <c r="B31" s="113">
        <v>1.0</v>
      </c>
      <c r="C31" s="70">
        <f t="shared" si="1"/>
        <v>115.2</v>
      </c>
      <c r="E31" s="59"/>
      <c r="L31" s="60"/>
    </row>
    <row r="32">
      <c r="A32" s="72" t="s">
        <v>75</v>
      </c>
      <c r="B32" s="114">
        <f t="shared" ref="B32:C32" si="2">sum(B29:B31)</f>
        <v>15</v>
      </c>
      <c r="C32" s="70">
        <f t="shared" si="2"/>
        <v>1728</v>
      </c>
      <c r="E32" s="59"/>
      <c r="L32" s="60"/>
    </row>
    <row r="33">
      <c r="A33" s="85" t="s">
        <v>76</v>
      </c>
      <c r="B33" s="86">
        <v>8.0</v>
      </c>
      <c r="C33" s="87">
        <f>C32/B33</f>
        <v>216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80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
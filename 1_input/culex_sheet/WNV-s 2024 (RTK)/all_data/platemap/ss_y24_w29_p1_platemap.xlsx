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<sst xmlns="http://schemas.openxmlformats.org/spreadsheetml/2006/main" count="335" uniqueCount="192">
  <si>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</si>
  <si>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</si>
  <si>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</si>
  <si>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</si>
  <si>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</si>
  <si>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</si>
  <si>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</si>
  <si>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</si>
  <si>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</si>
  <si>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</si>
  <si>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</si>
  <si>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</si>
  <si>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</si>
  <si>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</si>
  <si>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CSU-22219</t>
  </si>
  <si>
    <t>CSU-22227</t>
  </si>
  <si>
    <t>CSU-22235</t>
  </si>
  <si>
    <t>CSU-22243</t>
  </si>
  <si>
    <t>CSU-22251</t>
  </si>
  <si>
    <t>CSU-22259</t>
  </si>
  <si>
    <t>CSU-22267</t>
  </si>
  <si>
    <t>CSU-22275</t>
  </si>
  <si>
    <t>CSU-22283</t>
  </si>
  <si>
    <t>CSU-22291</t>
  </si>
  <si>
    <t>CSU-22299</t>
  </si>
  <si>
    <t>wnv_std_1e6</t>
  </si>
  <si>
    <t>B</t>
  </si>
  <si>
    <t>CSU-22220</t>
  </si>
  <si>
    <t>CSU-22228</t>
  </si>
  <si>
    <t>CSU-22236</t>
  </si>
  <si>
    <t>CSU-22244</t>
  </si>
  <si>
    <t>CSU-22252</t>
  </si>
  <si>
    <t>CSU-22260</t>
  </si>
  <si>
    <t>CSU-22268</t>
  </si>
  <si>
    <t>CSU-22276</t>
  </si>
  <si>
    <t>CSU-22284</t>
  </si>
  <si>
    <t>CSU-22292</t>
  </si>
  <si>
    <t>CSU-22300</t>
  </si>
  <si>
    <t>wnv_std_1e4</t>
  </si>
  <si>
    <t>C</t>
  </si>
  <si>
    <t>CSU-22221</t>
  </si>
  <si>
    <t>CSU-22229</t>
  </si>
  <si>
    <t>CSU-22237</t>
  </si>
  <si>
    <t>CSU-22245</t>
  </si>
  <si>
    <t>CSU-22253</t>
  </si>
  <si>
    <t>CSU-22261</t>
  </si>
  <si>
    <t>CSU-22269</t>
  </si>
  <si>
    <t>CSU-22277</t>
  </si>
  <si>
    <t>CSU-22285</t>
  </si>
  <si>
    <t>CSU-22293</t>
  </si>
  <si>
    <t>CSU-22301</t>
  </si>
  <si>
    <t>wnv_std_1e2</t>
  </si>
  <si>
    <t>D</t>
  </si>
  <si>
    <t>CSU-22222</t>
  </si>
  <si>
    <t>CSU-22230</t>
  </si>
  <si>
    <t>CSU-22238</t>
  </si>
  <si>
    <t>CSU-22246</t>
  </si>
  <si>
    <t>CSU-22254</t>
  </si>
  <si>
    <t>CSU-22262</t>
  </si>
  <si>
    <t>CSU-22270</t>
  </si>
  <si>
    <t>CSU-22278</t>
  </si>
  <si>
    <t>CSU-22286</t>
  </si>
  <si>
    <t>CSU-22294</t>
  </si>
  <si>
    <t>CSU-22302</t>
  </si>
  <si>
    <t>slev_std_1e6</t>
  </si>
  <si>
    <t>E</t>
  </si>
  <si>
    <t>CSU-22223</t>
  </si>
  <si>
    <t>CSU-22231</t>
  </si>
  <si>
    <t>CSU-22239</t>
  </si>
  <si>
    <t>CSU-22247</t>
  </si>
  <si>
    <t>CSU-22255</t>
  </si>
  <si>
    <t>CSU-22263</t>
  </si>
  <si>
    <t>CSU-22271</t>
  </si>
  <si>
    <t>CSU-22279</t>
  </si>
  <si>
    <t>CSU-22287</t>
  </si>
  <si>
    <t>CSU-22295</t>
  </si>
  <si>
    <t>CSU-22303</t>
  </si>
  <si>
    <t>slev_std_1e4</t>
  </si>
  <si>
    <t>F</t>
  </si>
  <si>
    <t>CSU-22224</t>
  </si>
  <si>
    <t>CSU-22232</t>
  </si>
  <si>
    <t>CSU-22240</t>
  </si>
  <si>
    <t>CSU-22248</t>
  </si>
  <si>
    <t>CSU-22256</t>
  </si>
  <si>
    <t>CSU-22264</t>
  </si>
  <si>
    <t>CSU-22272</t>
  </si>
  <si>
    <t>CSU-22280</t>
  </si>
  <si>
    <t>CSU-22288</t>
  </si>
  <si>
    <t>CSU-22296</t>
  </si>
  <si>
    <t>CSU-22304</t>
  </si>
  <si>
    <t>slev_std_1e2</t>
  </si>
  <si>
    <t>G</t>
  </si>
  <si>
    <t>CSU-22225</t>
  </si>
  <si>
    <t>CSU-22233</t>
  </si>
  <si>
    <t>CSU-22241</t>
  </si>
  <si>
    <t>CSU-22249</t>
  </si>
  <si>
    <t>CSU-22257</t>
  </si>
  <si>
    <t>CSU-22265</t>
  </si>
  <si>
    <t>CSU-22273</t>
  </si>
  <si>
    <t>CSU-22281</t>
  </si>
  <si>
    <t>CSU-22289</t>
  </si>
  <si>
    <t>CSU-22297</t>
  </si>
  <si>
    <t>CSU-22305</t>
  </si>
  <si>
    <t>neg h2O pcr ctrl</t>
  </si>
  <si>
    <t>H</t>
  </si>
  <si>
    <t>CSU-22226</t>
  </si>
  <si>
    <t>CSU-22234</t>
  </si>
  <si>
    <t>CSU-22242</t>
  </si>
  <si>
    <t>CSU-22250</t>
  </si>
  <si>
    <t>CSU-22258</t>
  </si>
  <si>
    <t>CSU-22266</t>
  </si>
  <si>
    <t>CSU-22274</t>
  </si>
  <si>
    <t>CSU-22282</t>
  </si>
  <si>
    <t>CSU-22290</t>
  </si>
  <si>
    <t>CSU-22298</t>
  </si>
  <si>
    <t>pos rna ctrl</t>
  </si>
  <si>
    <t>neg rna ctrl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</si>
  <si>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</si>
  <si>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</si>
  <si>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</si>
  <si>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</si>
  <si>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</si>
  <si>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</si>
  <si>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</si>
  <si>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</si>
  <si>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</si>
  <si>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</si>
  <si>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</si>
  <si>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</si>
  <si>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</si>
  <si>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</si>
  <si>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</si>
  <si>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</si>
  <si>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</si>
  <si>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</si>
  <si>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</si>
  <si>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</si>
  <si>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</si>
  <si>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</si>
  <si>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</si>
  <si>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</si>
  <si>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</si>
  <si>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</si>
  <si>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</si>
  <si>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</si>
  <si>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</si>
  <si>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</si>
  <si>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</si>
  <si>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</si>
  <si>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</si>
  <si>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</si>
  <si>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</si>
  <si>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</si>
  <si>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</si>
  <si>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</si>
  <si>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</si>
  <si>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</si>
  <si>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</si>
  <si>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</si>
  <si>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</si>
  <si>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</si>
  <si>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</si>
  <si>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</si>
  <si>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</si>
  <si>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</si>
  <si>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</si>
  <si>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</si>
  <si>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</si>
  <si>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</si>
  <si>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</si>
  <si>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</si>
  <si>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</si>
  <si>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</si>
  <si>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Catalina</t>
  </si>
  <si>
    <t>SS - Multiplex qRT-PCR</t>
  </si>
  <si>
    <t>changed pipettes between samples</t>
  </si>
  <si>
    <t>Quantstudio</t>
  </si>
  <si>
    <t>neg pcr control added</t>
  </si>
  <si>
    <t>Mastermix</t>
  </si>
  <si>
    <t>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</si>
  <si>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</si>
  <si>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</si>
  <si>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</si>
  <si>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</si>
  <si>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</si>
  <si>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</si>
  <si>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</si>
  <si>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</si>
  <si>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>pink multichannel working again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</si>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</sst>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Border="1" applyFont="1"/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1" fillId="3" fontId="3" numFmtId="0" xfId="0" applyAlignment="1" applyBorder="1" applyFont="1">
      <alignment readingOrder="0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readingOrder="0"/>
    </xf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1" t="s">
        <v>103</v>
      </c>
    </row>
    <row r="9">
      <c r="A9" s="12" t="s">
        <v>104</v>
      </c>
      <c r="B9" s="13" t="s">
        <v>105</v>
      </c>
      <c r="C9" s="13" t="s">
        <v>106</v>
      </c>
      <c r="D9" s="13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3" t="s">
        <v>112</v>
      </c>
      <c r="J9" s="13" t="s">
        <v>113</v>
      </c>
      <c r="K9" s="13" t="s">
        <v>114</v>
      </c>
      <c r="L9" s="13" t="s">
        <v>115</v>
      </c>
      <c r="M9" s="14" t="s">
        <v>116</v>
      </c>
    </row>
    <row r="11">
      <c r="F11" s="15" t="s">
        <v>117</v>
      </c>
      <c r="H11" s="16" t="s">
        <v>118</v>
      </c>
    </row>
    <row r="12">
      <c r="A12" s="17" t="s">
        <v>119</v>
      </c>
      <c r="B12" s="18"/>
      <c r="C12" s="19"/>
      <c r="F12" s="20" t="s">
        <v>120</v>
      </c>
      <c r="G12" s="21"/>
      <c r="H12" s="21"/>
      <c r="I12" s="21"/>
      <c r="J12" s="22"/>
    </row>
    <row r="13">
      <c r="F13" s="23" t="s">
        <v>121</v>
      </c>
      <c r="I13" s="24"/>
      <c r="J13" s="14" t="b">
        <v>1</v>
      </c>
    </row>
    <row r="14">
      <c r="A14" s="20" t="s">
        <v>122</v>
      </c>
      <c r="B14" s="21"/>
      <c r="C14" s="22"/>
      <c r="F14" s="25" t="s">
        <v>123</v>
      </c>
      <c r="G14" s="26"/>
      <c r="H14" s="26"/>
      <c r="I14" s="27"/>
      <c r="J14" s="28" t="b">
        <v>1</v>
      </c>
    </row>
    <row r="15">
      <c r="A15" s="29" t="s">
        <v>124</v>
      </c>
      <c r="B15" s="30" t="s">
        <v>125</v>
      </c>
      <c r="C15" s="31" t="s">
        <v>126</v>
      </c>
      <c r="F15" s="25" t="s">
        <v>127</v>
      </c>
      <c r="G15" s="26"/>
      <c r="H15" s="26"/>
      <c r="I15" s="27"/>
      <c r="J15" s="28" t="b">
        <v>1</v>
      </c>
    </row>
    <row r="16">
      <c r="A16" s="32"/>
      <c r="B16" s="33"/>
      <c r="C16" s="34"/>
      <c r="F16" s="25" t="s">
        <v>128</v>
      </c>
      <c r="G16" s="26"/>
      <c r="H16" s="26"/>
      <c r="I16" s="27"/>
      <c r="J16" s="28" t="b">
        <v>1</v>
      </c>
    </row>
    <row r="17">
      <c r="A17" s="32" t="s">
        <v>129</v>
      </c>
      <c r="B17" s="33" t="s">
        <v>130</v>
      </c>
      <c r="C17" s="34" t="s">
        <v>131</v>
      </c>
      <c r="F17" s="25" t="s">
        <v>132</v>
      </c>
      <c r="G17" s="26"/>
      <c r="H17" s="26"/>
      <c r="I17" s="27"/>
      <c r="J17" s="28" t="b">
        <v>1</v>
      </c>
    </row>
    <row r="18">
      <c r="A18" s="32" t="s">
        <v>133</v>
      </c>
      <c r="B18" s="33" t="s">
        <v>130</v>
      </c>
      <c r="C18" s="35"/>
      <c r="F18" s="25" t="s">
        <v>134</v>
      </c>
      <c r="G18" s="26"/>
      <c r="H18" s="26"/>
      <c r="I18" s="27"/>
      <c r="J18" s="28" t="b">
        <v>1</v>
      </c>
    </row>
    <row r="19">
      <c r="A19" s="32" t="s">
        <v>135</v>
      </c>
      <c r="B19" s="33" t="s">
        <v>130</v>
      </c>
      <c r="C19" s="35"/>
      <c r="F19" s="25" t="s">
        <v>136</v>
      </c>
      <c r="G19" s="26"/>
      <c r="H19" s="26"/>
      <c r="I19" s="27"/>
      <c r="J19" s="28" t="b">
        <v>1</v>
      </c>
    </row>
    <row r="20">
      <c r="A20" s="32" t="s">
        <v>137</v>
      </c>
      <c r="B20" s="33" t="s">
        <v>130</v>
      </c>
      <c r="C20" s="35"/>
      <c r="F20" s="25" t="s">
        <v>138</v>
      </c>
      <c r="G20" s="26"/>
      <c r="H20" s="26"/>
      <c r="I20" s="27"/>
      <c r="J20" s="28" t="b">
        <v>1</v>
      </c>
    </row>
    <row r="21">
      <c r="A21" s="32" t="s">
        <v>139</v>
      </c>
      <c r="B21" s="33" t="s">
        <v>130</v>
      </c>
      <c r="C21" s="35"/>
      <c r="F21" s="25" t="s">
        <v>140</v>
      </c>
      <c r="G21" s="26"/>
      <c r="H21" s="26"/>
      <c r="I21" s="27"/>
      <c r="J21" s="28" t="b">
        <v>1</v>
      </c>
    </row>
    <row r="22">
      <c r="A22" s="32" t="s">
        <v>141</v>
      </c>
      <c r="B22" s="33" t="s">
        <v>130</v>
      </c>
      <c r="C22" s="35"/>
      <c r="F22" s="25" t="s">
        <v>142</v>
      </c>
      <c r="G22" s="26"/>
      <c r="H22" s="26"/>
      <c r="I22" s="27"/>
      <c r="J22" s="28" t="b">
        <v>1</v>
      </c>
    </row>
    <row r="23">
      <c r="A23" s="32" t="s">
        <v>143</v>
      </c>
      <c r="B23" s="33" t="s">
        <v>130</v>
      </c>
      <c r="C23" s="35"/>
      <c r="F23" s="25" t="s">
        <v>144</v>
      </c>
      <c r="G23" s="26"/>
      <c r="H23" s="26"/>
      <c r="I23" s="27"/>
      <c r="J23" s="36" t="b">
        <v>0</v>
      </c>
    </row>
    <row r="24">
      <c r="A24" s="32" t="s">
        <v>145</v>
      </c>
      <c r="B24" s="33" t="s">
        <v>130</v>
      </c>
      <c r="C24" s="35"/>
      <c r="F24" s="25" t="s">
        <v>146</v>
      </c>
      <c r="G24" s="26"/>
      <c r="H24" s="26"/>
      <c r="I24" s="27"/>
      <c r="J24" s="36" t="b">
        <v>0</v>
      </c>
    </row>
    <row r="25">
      <c r="A25" s="37" t="s">
        <v>147</v>
      </c>
      <c r="B25" s="38" t="s">
        <v>130</v>
      </c>
      <c r="C25" s="39"/>
      <c r="F25" s="40" t="s">
        <v>148</v>
      </c>
      <c r="G25" s="41"/>
      <c r="H25" s="41"/>
      <c r="I25" s="42"/>
      <c r="J25" s="43" t="b">
        <v>0</v>
      </c>
    </row>
    <row r="26">
      <c r="A26" s="44"/>
      <c r="B26" s="45"/>
      <c r="C26" s="44"/>
    </row>
    <row r="28" ht="50.25" customHeight="1">
      <c r="A28" s="46" t="s">
        <v>149</v>
      </c>
      <c r="B28" s="26"/>
      <c r="C28" s="27"/>
      <c r="F28" s="47" t="s">
        <v>150</v>
      </c>
      <c r="G28" s="48"/>
      <c r="H28" s="48"/>
      <c r="I28" s="48"/>
      <c r="J28" s="48"/>
      <c r="K28" s="48"/>
      <c r="L28" s="48"/>
      <c r="M28" s="49"/>
    </row>
    <row r="29" ht="23.25" customHeight="1">
      <c r="A29" s="50" t="s">
        <v>151</v>
      </c>
      <c r="B29" s="51">
        <f>COUNTA($B$2:$L$9,$M$9)</f>
        <v>89</v>
      </c>
      <c r="C29" s="52" t="s">
        <v>152</v>
      </c>
      <c r="F29" s="53"/>
      <c r="G29" s="54"/>
      <c r="H29" s="54"/>
      <c r="I29" s="54"/>
      <c r="J29" s="54"/>
      <c r="K29" s="54"/>
      <c r="L29" s="54"/>
      <c r="M29" s="55"/>
    </row>
    <row r="30">
      <c r="A30" s="50" t="s">
        <v>153</v>
      </c>
      <c r="B30" s="56">
        <v>1.2</v>
      </c>
      <c r="C30" s="52" t="s">
        <v>154</v>
      </c>
      <c r="F30" s="57"/>
      <c r="M30" s="58"/>
    </row>
    <row r="31">
      <c r="A31" s="59"/>
      <c r="B31" s="59"/>
      <c r="C31" s="60"/>
      <c r="F31" s="57"/>
      <c r="M31" s="58"/>
    </row>
    <row r="32">
      <c r="A32" s="61" t="s">
        <v>155</v>
      </c>
      <c r="B32" s="21"/>
      <c r="C32" s="22"/>
      <c r="F32" s="57"/>
      <c r="M32" s="58"/>
    </row>
    <row r="33">
      <c r="A33" s="62" t="s">
        <v>156</v>
      </c>
      <c r="B33" s="63" t="s">
        <v>157</v>
      </c>
      <c r="C33" s="64" t="s">
        <v>158</v>
      </c>
      <c r="D33" s="65" t="s">
        <v>159</v>
      </c>
      <c r="F33" s="57"/>
      <c r="M33" s="58"/>
    </row>
    <row r="34">
      <c r="A34" s="66" t="s">
        <v>160</v>
      </c>
      <c r="B34" s="67">
        <v>60.0</v>
      </c>
      <c r="C34" s="68">
        <f t="shared" ref="C34:C37" si="1">B34*$B$29*$B$30</f>
        <v>6408</v>
      </c>
      <c r="D34" s="69" t="b">
        <v>1</v>
      </c>
      <c r="F34" s="57"/>
      <c r="M34" s="58"/>
    </row>
    <row r="35">
      <c r="A35" s="66" t="s">
        <v>139</v>
      </c>
      <c r="B35" s="67">
        <v>1.0</v>
      </c>
      <c r="C35" s="68">
        <f t="shared" si="1"/>
        <v>106.8</v>
      </c>
      <c r="D35" s="69" t="b">
        <v>1</v>
      </c>
      <c r="F35" s="57"/>
      <c r="M35" s="58"/>
    </row>
    <row r="36">
      <c r="A36" s="66" t="s">
        <v>161</v>
      </c>
      <c r="B36" s="67">
        <v>70.0</v>
      </c>
      <c r="C36" s="68">
        <f t="shared" si="1"/>
        <v>7476</v>
      </c>
      <c r="D36" s="69" t="b">
        <v>1</v>
      </c>
      <c r="F36" s="57"/>
      <c r="M36" s="58"/>
    </row>
    <row r="37">
      <c r="A37" s="70" t="s">
        <v>162</v>
      </c>
      <c r="B37" s="71">
        <f>sum(B34:B36)</f>
        <v>131</v>
      </c>
      <c r="C37" s="68">
        <f t="shared" si="1"/>
        <v>13990.8</v>
      </c>
      <c r="F37" s="57"/>
      <c r="M37" s="58"/>
    </row>
    <row r="38">
      <c r="A38" s="72" t="s">
        <v>163</v>
      </c>
      <c r="B38" s="45">
        <v>8.0</v>
      </c>
      <c r="C38" s="73">
        <f>C37/B38</f>
        <v>1748.85</v>
      </c>
      <c r="F38" s="57"/>
      <c r="M38" s="58"/>
    </row>
    <row r="39">
      <c r="A39" s="74"/>
      <c r="B39" s="44"/>
      <c r="C39" s="73"/>
      <c r="F39" s="57"/>
      <c r="M39" s="58"/>
    </row>
    <row r="40">
      <c r="A40" s="75" t="s">
        <v>164</v>
      </c>
      <c r="B40" s="76" t="s">
        <v>157</v>
      </c>
      <c r="C40" s="77" t="s">
        <v>158</v>
      </c>
      <c r="F40" s="57"/>
      <c r="M40" s="58"/>
    </row>
    <row r="41">
      <c r="A41" s="78" t="s">
        <v>165</v>
      </c>
      <c r="B41" s="79">
        <v>5.0</v>
      </c>
      <c r="C41" s="68">
        <f t="shared" ref="C41:C43" si="2">B41*$B$29*$B$30</f>
        <v>534</v>
      </c>
      <c r="D41" s="69" t="b">
        <v>1</v>
      </c>
      <c r="F41" s="57"/>
      <c r="M41" s="58"/>
    </row>
    <row r="42">
      <c r="A42" s="78" t="s">
        <v>166</v>
      </c>
      <c r="B42" s="79">
        <v>5.0</v>
      </c>
      <c r="C42" s="68">
        <f t="shared" si="2"/>
        <v>534</v>
      </c>
      <c r="D42" s="69" t="b">
        <v>1</v>
      </c>
      <c r="F42" s="57"/>
      <c r="M42" s="58"/>
    </row>
    <row r="43">
      <c r="A43" s="80" t="s">
        <v>162</v>
      </c>
      <c r="B43" s="81">
        <f>sum(B41:B42)</f>
        <v>10</v>
      </c>
      <c r="C43" s="68">
        <f t="shared" si="2"/>
        <v>1068</v>
      </c>
      <c r="D43" s="69" t="b">
        <v>1</v>
      </c>
      <c r="F43" s="57"/>
      <c r="M43" s="58"/>
    </row>
    <row r="44">
      <c r="A44" s="82" t="s">
        <v>163</v>
      </c>
      <c r="B44" s="83">
        <v>8.0</v>
      </c>
      <c r="C44" s="84">
        <f>C43/B44</f>
        <v>133.5</v>
      </c>
      <c r="F44" s="57"/>
      <c r="M44" s="58"/>
    </row>
    <row r="45">
      <c r="F45" s="85" t="s">
        <v>167</v>
      </c>
      <c r="G45" s="86"/>
      <c r="H45" s="86"/>
      <c r="I45" s="86"/>
      <c r="J45" s="86"/>
      <c r="K45" s="86"/>
      <c r="L45" s="86"/>
      <c r="M45" s="87"/>
    </row>
    <row r="46">
      <c r="A46" s="88" t="s">
        <v>168</v>
      </c>
      <c r="B46" s="88" t="s">
        <v>169</v>
      </c>
      <c r="C46" s="88" t="s">
        <v>170</v>
      </c>
    </row>
    <row r="47">
      <c r="A47" s="89" t="s">
        <v>171</v>
      </c>
      <c r="B47" s="90">
        <v>200.0</v>
      </c>
      <c r="C47" s="91">
        <f>2*B47*$B$29*$B$30</f>
        <v>42720</v>
      </c>
      <c r="D47" s="69" t="b">
        <v>1</v>
      </c>
    </row>
    <row r="48">
      <c r="A48" s="89" t="s">
        <v>145</v>
      </c>
      <c r="B48" s="90">
        <v>200.0</v>
      </c>
      <c r="C48" s="91">
        <f t="shared" ref="C48:C49" si="3">B48*$B$29*$B$30</f>
        <v>21360</v>
      </c>
      <c r="D48" s="69" t="b">
        <v>1</v>
      </c>
    </row>
    <row r="49">
      <c r="A49" s="92" t="s">
        <v>172</v>
      </c>
      <c r="B49" s="91">
        <v>50.0</v>
      </c>
      <c r="C49" s="91">
        <f t="shared" si="3"/>
        <v>5340</v>
      </c>
      <c r="D49" s="69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1" t="s">
        <v>103</v>
      </c>
    </row>
    <row r="9">
      <c r="A9" s="12" t="s">
        <v>104</v>
      </c>
      <c r="B9" s="13" t="s">
        <v>105</v>
      </c>
      <c r="C9" s="13" t="s">
        <v>106</v>
      </c>
      <c r="D9" s="13" t="s">
        <v>107</v>
      </c>
      <c r="E9" s="13" t="s">
        <v>108</v>
      </c>
      <c r="F9" s="13" t="s">
        <v>109</v>
      </c>
      <c r="G9" s="13" t="s">
        <v>110</v>
      </c>
      <c r="H9" s="13" t="s">
        <v>111</v>
      </c>
      <c r="I9" s="13" t="s">
        <v>112</v>
      </c>
      <c r="J9" s="13" t="s">
        <v>113</v>
      </c>
      <c r="K9" s="13" t="s">
        <v>114</v>
      </c>
      <c r="L9" s="13" t="s">
        <v>115</v>
      </c>
      <c r="M9" s="14" t="s">
        <v>116</v>
      </c>
    </row>
    <row r="11">
      <c r="A11" s="17" t="s">
        <v>119</v>
      </c>
      <c r="B11" s="18"/>
      <c r="C11" s="93" t="s">
        <v>173</v>
      </c>
    </row>
    <row r="13">
      <c r="E13" s="15" t="s">
        <v>117</v>
      </c>
      <c r="G13" s="16" t="s">
        <v>174</v>
      </c>
    </row>
    <row r="14">
      <c r="A14" s="94" t="s">
        <v>122</v>
      </c>
      <c r="B14" s="21"/>
      <c r="C14" s="22"/>
      <c r="E14" s="94" t="s">
        <v>120</v>
      </c>
      <c r="F14" s="21"/>
      <c r="G14" s="21"/>
      <c r="H14" s="21"/>
      <c r="I14" s="22"/>
    </row>
    <row r="15">
      <c r="A15" s="29" t="s">
        <v>124</v>
      </c>
      <c r="B15" s="30" t="s">
        <v>125</v>
      </c>
      <c r="C15" s="31" t="s">
        <v>126</v>
      </c>
      <c r="E15" s="95" t="s">
        <v>175</v>
      </c>
      <c r="F15" s="26"/>
      <c r="G15" s="26"/>
      <c r="H15" s="27"/>
      <c r="I15" s="96" t="b">
        <v>1</v>
      </c>
    </row>
    <row r="16">
      <c r="A16" s="97" t="s">
        <v>176</v>
      </c>
      <c r="B16" s="33" t="s">
        <v>130</v>
      </c>
      <c r="C16" s="98" t="s">
        <v>131</v>
      </c>
      <c r="E16" s="95" t="s">
        <v>177</v>
      </c>
      <c r="F16" s="26"/>
      <c r="G16" s="26"/>
      <c r="H16" s="27"/>
      <c r="I16" s="96" t="b">
        <v>1</v>
      </c>
    </row>
    <row r="17">
      <c r="A17" s="97" t="s">
        <v>178</v>
      </c>
      <c r="B17" s="33" t="s">
        <v>130</v>
      </c>
      <c r="C17" s="98" t="s">
        <v>179</v>
      </c>
      <c r="E17" s="95" t="s">
        <v>180</v>
      </c>
      <c r="F17" s="26"/>
      <c r="G17" s="26"/>
      <c r="H17" s="27"/>
      <c r="I17" s="96" t="b">
        <v>1</v>
      </c>
    </row>
    <row r="18">
      <c r="A18" s="97" t="s">
        <v>181</v>
      </c>
      <c r="B18" s="33" t="s">
        <v>130</v>
      </c>
      <c r="C18" s="98" t="s">
        <v>131</v>
      </c>
      <c r="E18" s="95" t="s">
        <v>182</v>
      </c>
      <c r="F18" s="26"/>
      <c r="G18" s="26"/>
      <c r="H18" s="27"/>
      <c r="I18" s="96" t="b">
        <v>1</v>
      </c>
    </row>
    <row r="19">
      <c r="A19" s="37" t="s">
        <v>183</v>
      </c>
      <c r="B19" s="38" t="s">
        <v>130</v>
      </c>
      <c r="C19" s="99" t="s">
        <v>184</v>
      </c>
      <c r="E19" s="95" t="s">
        <v>185</v>
      </c>
      <c r="F19" s="26"/>
      <c r="G19" s="26"/>
      <c r="H19" s="27"/>
      <c r="I19" s="96" t="b">
        <v>1</v>
      </c>
    </row>
    <row r="20">
      <c r="A20" s="44"/>
      <c r="B20" s="44"/>
      <c r="C20" s="44"/>
      <c r="E20" s="95" t="s">
        <v>186</v>
      </c>
      <c r="F20" s="26"/>
      <c r="G20" s="26"/>
      <c r="H20" s="27"/>
      <c r="I20" s="100" t="b">
        <v>1</v>
      </c>
    </row>
    <row r="21">
      <c r="A21" s="44"/>
      <c r="B21" s="44"/>
      <c r="C21" s="44"/>
      <c r="E21" s="101"/>
    </row>
    <row r="22">
      <c r="A22" s="102" t="s">
        <v>149</v>
      </c>
      <c r="B22" s="26"/>
      <c r="C22" s="27"/>
      <c r="E22" s="47" t="s">
        <v>150</v>
      </c>
      <c r="F22" s="48"/>
      <c r="G22" s="48"/>
      <c r="H22" s="48"/>
      <c r="I22" s="48"/>
      <c r="J22" s="48"/>
      <c r="K22" s="48"/>
      <c r="L22" s="49"/>
    </row>
    <row r="23" ht="42.75" customHeight="1">
      <c r="A23" s="50" t="s">
        <v>151</v>
      </c>
      <c r="B23" s="51">
        <f>COUNTA($B$2:$M$9)</f>
        <v>96</v>
      </c>
      <c r="C23" s="52" t="s">
        <v>187</v>
      </c>
      <c r="E23" s="103" t="s">
        <v>188</v>
      </c>
      <c r="F23" s="54"/>
      <c r="G23" s="54"/>
      <c r="H23" s="54"/>
      <c r="I23" s="54"/>
      <c r="J23" s="54"/>
      <c r="K23" s="54"/>
      <c r="L23" s="55"/>
    </row>
    <row r="24" ht="59.25" customHeight="1">
      <c r="A24" s="50" t="s">
        <v>153</v>
      </c>
      <c r="B24" s="56">
        <v>1.2</v>
      </c>
      <c r="C24" s="52" t="s">
        <v>154</v>
      </c>
      <c r="E24" s="57"/>
      <c r="L24" s="58"/>
    </row>
    <row r="25">
      <c r="E25" s="57"/>
      <c r="L25" s="58"/>
    </row>
    <row r="26">
      <c r="E26" s="57"/>
      <c r="L26" s="58"/>
    </row>
    <row r="27">
      <c r="A27" s="104" t="s">
        <v>155</v>
      </c>
      <c r="B27" s="21"/>
      <c r="C27" s="22"/>
      <c r="E27" s="57"/>
      <c r="L27" s="58"/>
    </row>
    <row r="28">
      <c r="A28" s="62" t="s">
        <v>189</v>
      </c>
      <c r="B28" s="63" t="s">
        <v>157</v>
      </c>
      <c r="C28" s="64" t="s">
        <v>158</v>
      </c>
      <c r="E28" s="57"/>
      <c r="L28" s="58"/>
    </row>
    <row r="29">
      <c r="A29" s="105" t="s">
        <v>178</v>
      </c>
      <c r="B29" s="106">
        <v>10.0</v>
      </c>
      <c r="C29" s="68">
        <f t="shared" ref="C29:C31" si="1">B29*$B$23*$B$24</f>
        <v>1152</v>
      </c>
      <c r="E29" s="57"/>
      <c r="L29" s="58"/>
    </row>
    <row r="30">
      <c r="A30" s="105" t="s">
        <v>190</v>
      </c>
      <c r="B30" s="106">
        <v>4.0</v>
      </c>
      <c r="C30" s="68">
        <f t="shared" si="1"/>
        <v>460.8</v>
      </c>
      <c r="E30" s="57"/>
      <c r="L30" s="58"/>
    </row>
    <row r="31">
      <c r="A31" s="105" t="s">
        <v>191</v>
      </c>
      <c r="B31" s="106">
        <v>1.0</v>
      </c>
      <c r="C31" s="68">
        <f t="shared" si="1"/>
        <v>115.2</v>
      </c>
      <c r="E31" s="57"/>
      <c r="L31" s="58"/>
    </row>
    <row r="32">
      <c r="A32" s="70" t="s">
        <v>162</v>
      </c>
      <c r="B32" s="107">
        <f t="shared" ref="B32:C32" si="2">sum(B29:B31)</f>
        <v>15</v>
      </c>
      <c r="C32" s="68">
        <f t="shared" si="2"/>
        <v>1728</v>
      </c>
      <c r="E32" s="57"/>
      <c r="L32" s="58"/>
    </row>
    <row r="33">
      <c r="A33" s="82" t="s">
        <v>163</v>
      </c>
      <c r="B33" s="83">
        <v>8.0</v>
      </c>
      <c r="C33" s="84">
        <f>C32/B33</f>
        <v>216</v>
      </c>
      <c r="E33" s="57"/>
      <c r="L33" s="58"/>
    </row>
    <row r="34">
      <c r="E34" s="57"/>
      <c r="L34" s="58"/>
    </row>
    <row r="35">
      <c r="E35" s="57"/>
      <c r="L35" s="58"/>
    </row>
    <row r="36">
      <c r="E36" s="57"/>
      <c r="L36" s="58"/>
    </row>
    <row r="37">
      <c r="E37" s="57"/>
      <c r="L37" s="58"/>
    </row>
    <row r="38">
      <c r="E38" s="57"/>
      <c r="L38" s="58"/>
    </row>
    <row r="39">
      <c r="A39" s="44"/>
      <c r="B39" s="44"/>
      <c r="C39" s="44"/>
      <c r="E39" s="85" t="s">
        <v>167</v>
      </c>
      <c r="F39" s="86"/>
      <c r="G39" s="86"/>
      <c r="H39" s="86"/>
      <c r="I39" s="86"/>
      <c r="J39" s="86"/>
      <c r="K39" s="86"/>
      <c r="L39" s="87"/>
    </row>
    <row r="40">
      <c r="A40" s="44"/>
      <c r="B40" s="44"/>
      <c r="C40" s="44"/>
    </row>
    <row r="41">
      <c r="A41" s="108"/>
      <c r="B41" s="109"/>
      <c r="C41" s="108"/>
    </row>
    <row r="42">
      <c r="A42" s="110"/>
      <c r="B42" s="111"/>
      <c r="C42" s="112"/>
    </row>
    <row r="43">
      <c r="A43" s="110"/>
      <c r="B43" s="111"/>
      <c r="C43" s="112"/>
    </row>
    <row r="44">
      <c r="A44" s="109"/>
      <c r="B44" s="108"/>
      <c r="C44" s="112"/>
    </row>
    <row r="45">
      <c r="A45" s="44"/>
      <c r="B45" s="44"/>
      <c r="C45" s="44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
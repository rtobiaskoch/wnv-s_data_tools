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<sst xmlns="http://schemas.openxmlformats.org/spreadsheetml/2006/main" count="334" uniqueCount="191">
  <si>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</si>
  <si>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</si>
  <si>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</si>
  <si>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</si>
  <si>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</si>
  <si>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</si>
  <si>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</si>
  <si>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</si>
  <si>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</si>
  <si>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</si>
  <si>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</si>
  <si>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</si>
  <si>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</si>
  <si>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</si>
  <si>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CSU-22333</t>
  </si>
  <si>
    <t>CSU-22341</t>
  </si>
  <si>
    <t>CSU-22349</t>
  </si>
  <si>
    <t>CSU-22357</t>
  </si>
  <si>
    <t>CSU-22365</t>
  </si>
  <si>
    <t>CSU-22373</t>
  </si>
  <si>
    <t>CSU-22381</t>
  </si>
  <si>
    <t>CSU-22389</t>
  </si>
  <si>
    <t>CSU-22397</t>
  </si>
  <si>
    <t>CSU-22405</t>
  </si>
  <si>
    <t>CSU-22413</t>
  </si>
  <si>
    <t>wnv_std_1e6</t>
  </si>
  <si>
    <t>B</t>
  </si>
  <si>
    <t>CSU-22334</t>
  </si>
  <si>
    <t>CSU-22342</t>
  </si>
  <si>
    <t>CSU-22350</t>
  </si>
  <si>
    <t>CSU-22358</t>
  </si>
  <si>
    <t>CSU-22366</t>
  </si>
  <si>
    <t>CSU-22374</t>
  </si>
  <si>
    <t>CSU-22382</t>
  </si>
  <si>
    <t>CSU-22390</t>
  </si>
  <si>
    <t>CSU-22398</t>
  </si>
  <si>
    <t>CSU-22406</t>
  </si>
  <si>
    <t>CSU-22414</t>
  </si>
  <si>
    <t>wnv_std_1e4</t>
  </si>
  <si>
    <t>C</t>
  </si>
  <si>
    <t>CSU-22335</t>
  </si>
  <si>
    <t>CSU-22343</t>
  </si>
  <si>
    <t>CSU-22351</t>
  </si>
  <si>
    <t>CSU-22359</t>
  </si>
  <si>
    <t>CSU-22367</t>
  </si>
  <si>
    <t>CSU-22375</t>
  </si>
  <si>
    <t>CSU-22383</t>
  </si>
  <si>
    <t>CSU-22391</t>
  </si>
  <si>
    <t>CSU-22399</t>
  </si>
  <si>
    <t>CSU-22407</t>
  </si>
  <si>
    <t>CSU-22415</t>
  </si>
  <si>
    <t>wnv_std_1e2</t>
  </si>
  <si>
    <t>D</t>
  </si>
  <si>
    <t>CSU-22336</t>
  </si>
  <si>
    <t>CSU-22344</t>
  </si>
  <si>
    <t>CSU-22352</t>
  </si>
  <si>
    <t>CSU-22360</t>
  </si>
  <si>
    <t>CSU-22368</t>
  </si>
  <si>
    <t>CSU-22376</t>
  </si>
  <si>
    <t>CSU-22384</t>
  </si>
  <si>
    <t>CSU-22392</t>
  </si>
  <si>
    <t>CSU-22400</t>
  </si>
  <si>
    <t>CSU-22408</t>
  </si>
  <si>
    <t>CSU-22416</t>
  </si>
  <si>
    <t>slev_std_1e6</t>
  </si>
  <si>
    <t>E</t>
  </si>
  <si>
    <t>CSU-22337</t>
  </si>
  <si>
    <t>CSU-22345</t>
  </si>
  <si>
    <t>CSU-22353</t>
  </si>
  <si>
    <t>CSU-22361</t>
  </si>
  <si>
    <t>CSU-22369</t>
  </si>
  <si>
    <t>CSU-22377</t>
  </si>
  <si>
    <t>CSU-22385</t>
  </si>
  <si>
    <t>CSU-22393</t>
  </si>
  <si>
    <t>CSU-22401</t>
  </si>
  <si>
    <t>CSU-22409</t>
  </si>
  <si>
    <t>CSU-22417</t>
  </si>
  <si>
    <t>slev_std_1e4</t>
  </si>
  <si>
    <t>F</t>
  </si>
  <si>
    <t>CSU-22338</t>
  </si>
  <si>
    <t>CSU-22346</t>
  </si>
  <si>
    <t>CSU-22354</t>
  </si>
  <si>
    <t>CSU-22362</t>
  </si>
  <si>
    <t>CSU-22370</t>
  </si>
  <si>
    <t>CSU-22378</t>
  </si>
  <si>
    <t>CSU-22386</t>
  </si>
  <si>
    <t>CSU-22394</t>
  </si>
  <si>
    <t>CSU-22402</t>
  </si>
  <si>
    <t>CSU-22410</t>
  </si>
  <si>
    <t>CSU-22418</t>
  </si>
  <si>
    <t>slev_std_1e2</t>
  </si>
  <si>
    <t>G</t>
  </si>
  <si>
    <t>CSU-22339</t>
  </si>
  <si>
    <t>CSU-22347</t>
  </si>
  <si>
    <t>CSU-22355</t>
  </si>
  <si>
    <t>CSU-22363</t>
  </si>
  <si>
    <t>CSU-22371</t>
  </si>
  <si>
    <t>CSU-22379</t>
  </si>
  <si>
    <t>CSU-22387</t>
  </si>
  <si>
    <t>CSU-22395</t>
  </si>
  <si>
    <t>CSU-22403</t>
  </si>
  <si>
    <t>CSU-22411</t>
  </si>
  <si>
    <t>CSU-22419</t>
  </si>
  <si>
    <t>neg pcr ctrl</t>
  </si>
  <si>
    <t>H</t>
  </si>
  <si>
    <t>CSU-22340</t>
  </si>
  <si>
    <t>CSU-22348</t>
  </si>
  <si>
    <t>CSU-22356</t>
  </si>
  <si>
    <t>CSU-22364</t>
  </si>
  <si>
    <t>CSU-22372</t>
  </si>
  <si>
    <t>CSU-22380</t>
  </si>
  <si>
    <t>CSU-22388</t>
  </si>
  <si>
    <t>CSU-22396</t>
  </si>
  <si>
    <t>CSU-22404</t>
  </si>
  <si>
    <t>CSU-22412</t>
  </si>
  <si>
    <t>pos rna ctrl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</si>
  <si>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</si>
  <si>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</si>
  <si>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</si>
  <si>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</si>
  <si>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</si>
  <si>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</si>
  <si>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</si>
  <si>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</si>
  <si>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</si>
  <si>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</si>
  <si>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</si>
  <si>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</si>
  <si>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</si>
  <si>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</si>
  <si>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</si>
  <si>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</si>
  <si>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</si>
  <si>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</si>
  <si>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</si>
  <si>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</si>
  <si>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</si>
  <si>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</si>
  <si>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</si>
  <si>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</si>
  <si>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</si>
  <si>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</si>
  <si>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</si>
  <si>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</si>
  <si>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</si>
  <si>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</si>
  <si>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</si>
  <si>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</si>
  <si>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</si>
  <si>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</si>
  <si>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</si>
  <si>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</si>
  <si>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</si>
  <si>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</si>
  <si>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</si>
  <si>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</si>
  <si>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</si>
  <si>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</si>
  <si>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</si>
  <si>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</si>
  <si>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</si>
  <si>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</si>
  <si>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</si>
  <si>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</si>
  <si>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</si>
  <si>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</si>
  <si>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</si>
  <si>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</si>
  <si>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</si>
  <si>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</si>
  <si>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</si>
  <si>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</si>
  <si>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</si>
  <si>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</si>
  <si>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</si>
  <si>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</si>
  <si>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</si>
  <si>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</si>
  <si>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</si>
  <si>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2881788, 2588173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</si>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</sst>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3" fontId="3" numFmtId="0" xfId="0" applyAlignment="1" applyBorder="1" applyFont="1">
      <alignment readingOrder="0"/>
    </xf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9" fillId="3" fontId="11" numFmtId="49" xfId="0" applyAlignment="1" applyBorder="1" applyFont="1" applyNumberFormat="1">
      <alignment horizontal="center" readingOrder="0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/>
      <c r="F12" s="21" t="s">
        <v>120</v>
      </c>
      <c r="G12" s="22"/>
      <c r="H12" s="22"/>
      <c r="I12" s="22"/>
      <c r="J12" s="23"/>
    </row>
    <row r="13">
      <c r="F13" s="24" t="s">
        <v>121</v>
      </c>
      <c r="I13" s="25"/>
      <c r="J13" s="15" t="b">
        <v>0</v>
      </c>
    </row>
    <row r="14">
      <c r="A14" s="21" t="s">
        <v>122</v>
      </c>
      <c r="B14" s="22"/>
      <c r="C14" s="23"/>
      <c r="F14" s="26" t="s">
        <v>123</v>
      </c>
      <c r="G14" s="27"/>
      <c r="H14" s="27"/>
      <c r="I14" s="28"/>
      <c r="J14" s="29" t="b">
        <v>1</v>
      </c>
    </row>
    <row r="15">
      <c r="A15" s="30" t="s">
        <v>124</v>
      </c>
      <c r="B15" s="31" t="s">
        <v>125</v>
      </c>
      <c r="C15" s="32" t="s">
        <v>126</v>
      </c>
      <c r="F15" s="26" t="s">
        <v>127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128</v>
      </c>
      <c r="G16" s="27"/>
      <c r="H16" s="27"/>
      <c r="I16" s="28"/>
      <c r="J16" s="29" t="b">
        <v>1</v>
      </c>
    </row>
    <row r="17">
      <c r="A17" s="33" t="s">
        <v>129</v>
      </c>
      <c r="B17" s="34" t="s">
        <v>130</v>
      </c>
      <c r="C17" s="35" t="s">
        <v>131</v>
      </c>
      <c r="F17" s="26" t="s">
        <v>132</v>
      </c>
      <c r="G17" s="27"/>
      <c r="H17" s="27"/>
      <c r="I17" s="28"/>
      <c r="J17" s="29" t="b">
        <v>1</v>
      </c>
    </row>
    <row r="18">
      <c r="A18" s="33" t="s">
        <v>133</v>
      </c>
      <c r="B18" s="34" t="s">
        <v>130</v>
      </c>
      <c r="C18" s="36"/>
      <c r="F18" s="26" t="s">
        <v>134</v>
      </c>
      <c r="G18" s="27"/>
      <c r="H18" s="27"/>
      <c r="I18" s="28"/>
      <c r="J18" s="29" t="b">
        <v>1</v>
      </c>
    </row>
    <row r="19">
      <c r="A19" s="33" t="s">
        <v>135</v>
      </c>
      <c r="B19" s="34" t="s">
        <v>130</v>
      </c>
      <c r="C19" s="36"/>
      <c r="F19" s="26" t="s">
        <v>136</v>
      </c>
      <c r="G19" s="27"/>
      <c r="H19" s="27"/>
      <c r="I19" s="28"/>
      <c r="J19" s="29" t="b">
        <v>1</v>
      </c>
    </row>
    <row r="20">
      <c r="A20" s="33" t="s">
        <v>137</v>
      </c>
      <c r="B20" s="34" t="s">
        <v>130</v>
      </c>
      <c r="C20" s="36"/>
      <c r="F20" s="26" t="s">
        <v>138</v>
      </c>
      <c r="G20" s="27"/>
      <c r="H20" s="27"/>
      <c r="I20" s="28"/>
      <c r="J20" s="29" t="b">
        <v>1</v>
      </c>
    </row>
    <row r="21">
      <c r="A21" s="33" t="s">
        <v>139</v>
      </c>
      <c r="B21" s="34" t="s">
        <v>130</v>
      </c>
      <c r="C21" s="36"/>
      <c r="F21" s="26" t="s">
        <v>140</v>
      </c>
      <c r="G21" s="27"/>
      <c r="H21" s="27"/>
      <c r="I21" s="28"/>
      <c r="J21" s="29" t="b">
        <v>1</v>
      </c>
    </row>
    <row r="22">
      <c r="A22" s="33" t="s">
        <v>141</v>
      </c>
      <c r="B22" s="34" t="s">
        <v>130</v>
      </c>
      <c r="C22" s="36"/>
      <c r="F22" s="26" t="s">
        <v>142</v>
      </c>
      <c r="G22" s="27"/>
      <c r="H22" s="27"/>
      <c r="I22" s="28"/>
      <c r="J22" s="29" t="b">
        <v>1</v>
      </c>
    </row>
    <row r="23">
      <c r="A23" s="33" t="s">
        <v>143</v>
      </c>
      <c r="B23" s="34" t="s">
        <v>130</v>
      </c>
      <c r="C23" s="36"/>
      <c r="F23" s="26" t="s">
        <v>144</v>
      </c>
      <c r="G23" s="27"/>
      <c r="H23" s="27"/>
      <c r="I23" s="28"/>
      <c r="J23" s="37" t="b">
        <v>0</v>
      </c>
    </row>
    <row r="24">
      <c r="A24" s="33" t="s">
        <v>145</v>
      </c>
      <c r="B24" s="34" t="s">
        <v>130</v>
      </c>
      <c r="C24" s="36"/>
      <c r="F24" s="26" t="s">
        <v>146</v>
      </c>
      <c r="G24" s="27"/>
      <c r="H24" s="27"/>
      <c r="I24" s="28"/>
      <c r="J24" s="37" t="b">
        <v>0</v>
      </c>
    </row>
    <row r="25">
      <c r="A25" s="38" t="s">
        <v>147</v>
      </c>
      <c r="B25" s="39" t="s">
        <v>130</v>
      </c>
      <c r="C25" s="40"/>
      <c r="F25" s="41" t="s">
        <v>148</v>
      </c>
      <c r="G25" s="42"/>
      <c r="H25" s="42"/>
      <c r="I25" s="43"/>
      <c r="J25" s="44" t="b">
        <v>0</v>
      </c>
    </row>
    <row r="26">
      <c r="A26" s="45"/>
      <c r="B26" s="46"/>
      <c r="C26" s="45"/>
    </row>
    <row r="28" ht="50.25" customHeight="1">
      <c r="A28" s="47" t="s">
        <v>149</v>
      </c>
      <c r="B28" s="27"/>
      <c r="C28" s="28"/>
      <c r="F28" s="48" t="s">
        <v>150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151</v>
      </c>
      <c r="B29" s="52">
        <f>COUNTA($B$2:$L$9,$M$9)</f>
        <v>89</v>
      </c>
      <c r="C29" s="53" t="s">
        <v>152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153</v>
      </c>
      <c r="B30" s="57">
        <v>1.2</v>
      </c>
      <c r="C30" s="53" t="s">
        <v>154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155</v>
      </c>
      <c r="B32" s="22"/>
      <c r="C32" s="23"/>
      <c r="F32" s="58"/>
      <c r="M32" s="59"/>
    </row>
    <row r="33">
      <c r="A33" s="63" t="s">
        <v>156</v>
      </c>
      <c r="B33" s="64" t="s">
        <v>157</v>
      </c>
      <c r="C33" s="65" t="s">
        <v>158</v>
      </c>
      <c r="D33" s="66" t="s">
        <v>159</v>
      </c>
      <c r="F33" s="58"/>
      <c r="M33" s="59"/>
    </row>
    <row r="34">
      <c r="A34" s="67" t="s">
        <v>160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139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161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162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163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164</v>
      </c>
      <c r="B40" s="77" t="s">
        <v>157</v>
      </c>
      <c r="C40" s="78" t="s">
        <v>158</v>
      </c>
      <c r="F40" s="58"/>
      <c r="M40" s="59"/>
    </row>
    <row r="41">
      <c r="A41" s="79" t="s">
        <v>165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166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162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163</v>
      </c>
      <c r="B44" s="84">
        <v>8.0</v>
      </c>
      <c r="C44" s="85">
        <f>C43/B44</f>
        <v>133.5</v>
      </c>
      <c r="F44" s="58"/>
      <c r="M44" s="59"/>
    </row>
    <row r="45">
      <c r="F45" s="86" t="s">
        <v>167</v>
      </c>
      <c r="G45" s="87"/>
      <c r="H45" s="87"/>
      <c r="I45" s="87"/>
      <c r="J45" s="87"/>
      <c r="K45" s="87"/>
      <c r="L45" s="87"/>
      <c r="M45" s="88"/>
    </row>
    <row r="46">
      <c r="A46" s="89" t="s">
        <v>168</v>
      </c>
      <c r="B46" s="89" t="s">
        <v>169</v>
      </c>
      <c r="C46" s="89" t="s">
        <v>170</v>
      </c>
    </row>
    <row r="47">
      <c r="A47" s="90" t="s">
        <v>171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145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172</v>
      </c>
      <c r="B49" s="92">
        <v>50.0</v>
      </c>
      <c r="C49" s="92">
        <f t="shared" si="3"/>
        <v>5340</v>
      </c>
      <c r="D49" s="70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4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5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6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4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95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96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A11" s="18" t="s">
        <v>119</v>
      </c>
      <c r="B11" s="19"/>
      <c r="C11" s="97" t="s">
        <v>173</v>
      </c>
    </row>
    <row r="13">
      <c r="E13" s="16" t="s">
        <v>117</v>
      </c>
      <c r="G13" s="17" t="s">
        <v>174</v>
      </c>
    </row>
    <row r="14">
      <c r="A14" s="98" t="s">
        <v>122</v>
      </c>
      <c r="B14" s="22"/>
      <c r="C14" s="23"/>
      <c r="E14" s="98" t="s">
        <v>120</v>
      </c>
      <c r="F14" s="22"/>
      <c r="G14" s="22"/>
      <c r="H14" s="22"/>
      <c r="I14" s="23"/>
    </row>
    <row r="15">
      <c r="A15" s="30" t="s">
        <v>124</v>
      </c>
      <c r="B15" s="31" t="s">
        <v>125</v>
      </c>
      <c r="C15" s="32" t="s">
        <v>126</v>
      </c>
      <c r="E15" s="99" t="s">
        <v>175</v>
      </c>
      <c r="F15" s="27"/>
      <c r="G15" s="27"/>
      <c r="H15" s="28"/>
      <c r="I15" s="100" t="b">
        <v>1</v>
      </c>
    </row>
    <row r="16">
      <c r="A16" s="101" t="s">
        <v>176</v>
      </c>
      <c r="B16" s="34" t="s">
        <v>130</v>
      </c>
      <c r="C16" s="102" t="s">
        <v>131</v>
      </c>
      <c r="E16" s="99" t="s">
        <v>177</v>
      </c>
      <c r="F16" s="27"/>
      <c r="G16" s="27"/>
      <c r="H16" s="28"/>
      <c r="I16" s="100" t="b">
        <v>1</v>
      </c>
    </row>
    <row r="17">
      <c r="A17" s="101" t="s">
        <v>178</v>
      </c>
      <c r="B17" s="34" t="s">
        <v>130</v>
      </c>
      <c r="C17" s="102" t="s">
        <v>179</v>
      </c>
      <c r="E17" s="99" t="s">
        <v>180</v>
      </c>
      <c r="F17" s="27"/>
      <c r="G17" s="27"/>
      <c r="H17" s="28"/>
      <c r="I17" s="100" t="b">
        <v>1</v>
      </c>
    </row>
    <row r="18">
      <c r="A18" s="101" t="s">
        <v>181</v>
      </c>
      <c r="B18" s="34" t="s">
        <v>130</v>
      </c>
      <c r="C18" s="102" t="s">
        <v>131</v>
      </c>
      <c r="E18" s="99" t="s">
        <v>182</v>
      </c>
      <c r="F18" s="27"/>
      <c r="G18" s="27"/>
      <c r="H18" s="28"/>
      <c r="I18" s="100" t="b">
        <v>1</v>
      </c>
    </row>
    <row r="19">
      <c r="A19" s="38" t="s">
        <v>183</v>
      </c>
      <c r="B19" s="39" t="s">
        <v>130</v>
      </c>
      <c r="C19" s="103" t="s">
        <v>184</v>
      </c>
      <c r="E19" s="99" t="s">
        <v>185</v>
      </c>
      <c r="F19" s="27"/>
      <c r="G19" s="27"/>
      <c r="H19" s="28"/>
      <c r="I19" s="100" t="b">
        <v>1</v>
      </c>
    </row>
    <row r="20">
      <c r="A20" s="45"/>
      <c r="B20" s="45"/>
      <c r="C20" s="45"/>
      <c r="E20" s="99" t="s">
        <v>186</v>
      </c>
      <c r="F20" s="27"/>
      <c r="G20" s="27"/>
      <c r="H20" s="28"/>
      <c r="I20" s="104" t="b">
        <v>1</v>
      </c>
    </row>
    <row r="21">
      <c r="A21" s="45"/>
      <c r="B21" s="45"/>
      <c r="C21" s="45"/>
      <c r="E21" s="105"/>
    </row>
    <row r="22">
      <c r="A22" s="106" t="s">
        <v>149</v>
      </c>
      <c r="B22" s="27"/>
      <c r="C22" s="28"/>
      <c r="E22" s="48" t="s">
        <v>150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151</v>
      </c>
      <c r="B23" s="52">
        <f>COUNTA($B$2:$M$9)</f>
        <v>96</v>
      </c>
      <c r="C23" s="53" t="s">
        <v>187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153</v>
      </c>
      <c r="B24" s="57">
        <v>1.2</v>
      </c>
      <c r="C24" s="53" t="s">
        <v>154</v>
      </c>
      <c r="E24" s="58"/>
      <c r="L24" s="59"/>
    </row>
    <row r="25">
      <c r="E25" s="58"/>
      <c r="L25" s="59"/>
    </row>
    <row r="26">
      <c r="E26" s="58"/>
      <c r="L26" s="59"/>
    </row>
    <row r="27">
      <c r="A27" s="107" t="s">
        <v>155</v>
      </c>
      <c r="B27" s="22"/>
      <c r="C27" s="23"/>
      <c r="E27" s="58"/>
      <c r="L27" s="59"/>
    </row>
    <row r="28">
      <c r="A28" s="63" t="s">
        <v>188</v>
      </c>
      <c r="B28" s="64" t="s">
        <v>157</v>
      </c>
      <c r="C28" s="65" t="s">
        <v>158</v>
      </c>
      <c r="E28" s="58"/>
      <c r="L28" s="59"/>
    </row>
    <row r="29">
      <c r="A29" s="108" t="s">
        <v>178</v>
      </c>
      <c r="B29" s="109">
        <v>10.0</v>
      </c>
      <c r="C29" s="69">
        <f t="shared" ref="C29:C31" si="1">B29*$B$23*$B$24</f>
        <v>1152</v>
      </c>
      <c r="E29" s="58"/>
      <c r="L29" s="59"/>
    </row>
    <row r="30">
      <c r="A30" s="108" t="s">
        <v>189</v>
      </c>
      <c r="B30" s="109">
        <v>4.0</v>
      </c>
      <c r="C30" s="69">
        <f t="shared" si="1"/>
        <v>460.8</v>
      </c>
      <c r="E30" s="58"/>
      <c r="L30" s="59"/>
    </row>
    <row r="31">
      <c r="A31" s="108" t="s">
        <v>190</v>
      </c>
      <c r="B31" s="109">
        <v>1.0</v>
      </c>
      <c r="C31" s="69">
        <f t="shared" si="1"/>
        <v>115.2</v>
      </c>
      <c r="E31" s="58"/>
      <c r="L31" s="59"/>
    </row>
    <row r="32">
      <c r="A32" s="71" t="s">
        <v>162</v>
      </c>
      <c r="B32" s="110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163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167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1"/>
      <c r="B41" s="112"/>
      <c r="C41" s="111"/>
    </row>
    <row r="42">
      <c r="A42" s="113"/>
      <c r="B42" s="114"/>
      <c r="C42" s="115"/>
    </row>
    <row r="43">
      <c r="A43" s="113"/>
      <c r="B43" s="114"/>
      <c r="C43" s="115"/>
    </row>
    <row r="44">
      <c r="A44" s="112"/>
      <c r="B44" s="111"/>
      <c r="C44" s="115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
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<sst xmlns="http://schemas.openxmlformats.org/spreadsheetml/2006/main" count="312" uniqueCount="180">
  <si>
    <t>Step</t>
  </si>
  <si>
    <t xml:space="preserve">make a copy of this and put it in the "weekly_report_input_folder" that corresponds to the correct year and week </t>
  </si>
  <si>
    <t>paste your platemap into the appropriate location in the rna and/or pcr sheet</t>
  </si>
  <si>
    <t>Fill out all highlighted sections and rename this copied file with the "plate # or p#" in the title. This will be the platemap input in the pipeline</t>
  </si>
  <si>
    <t>Don't change the name of the "pcr" sheet</t>
  </si>
  <si>
    <t>A</t>
  </si>
  <si>
    <t>CSU-21854</t>
  </si>
  <si>
    <t>CSU-21862</t>
  </si>
  <si>
    <t>CSU-21870</t>
  </si>
  <si>
    <t>CSU-21878</t>
  </si>
  <si>
    <t>CSU-21886</t>
  </si>
  <si>
    <t>CSU-21894</t>
  </si>
  <si>
    <t>CSU-21902</t>
  </si>
  <si>
    <t>CSU-21910</t>
  </si>
  <si>
    <t>CSU-21918</t>
  </si>
  <si>
    <t>CDC-012</t>
  </si>
  <si>
    <t>wnv_std_1e6</t>
  </si>
  <si>
    <t>B</t>
  </si>
  <si>
    <t>CSU-21855</t>
  </si>
  <si>
    <t>CSU-21863</t>
  </si>
  <si>
    <t>CSU-21871</t>
  </si>
  <si>
    <t>CSU-21879</t>
  </si>
  <si>
    <t>CSU-21887</t>
  </si>
  <si>
    <t>CSU-21895</t>
  </si>
  <si>
    <t>CSU-21903</t>
  </si>
  <si>
    <t>CSU-21911</t>
  </si>
  <si>
    <t>CSU-21919</t>
  </si>
  <si>
    <t>CDC-013</t>
  </si>
  <si>
    <t>wnv_std_1e4</t>
  </si>
  <si>
    <t>C</t>
  </si>
  <si>
    <t>CSU-21856</t>
  </si>
  <si>
    <t>CSU-21864</t>
  </si>
  <si>
    <t>CSU-21872</t>
  </si>
  <si>
    <t>CSU-21880</t>
  </si>
  <si>
    <t>CSU-21888</t>
  </si>
  <si>
    <t>CSU-21896</t>
  </si>
  <si>
    <t>CSU-21904</t>
  </si>
  <si>
    <t>CSU-21912</t>
  </si>
  <si>
    <t>CSU-21920</t>
  </si>
  <si>
    <t>CDC-014</t>
  </si>
  <si>
    <t>wnv_std_1e2</t>
  </si>
  <si>
    <t>D</t>
  </si>
  <si>
    <t>CSU-21857</t>
  </si>
  <si>
    <t>CSU-21865</t>
  </si>
  <si>
    <t>CSU-21873</t>
  </si>
  <si>
    <t>CSU-21881</t>
  </si>
  <si>
    <t>CSU-21889</t>
  </si>
  <si>
    <t>CSU-21897</t>
  </si>
  <si>
    <t>CSU-21905</t>
  </si>
  <si>
    <t>CSU-21913</t>
  </si>
  <si>
    <t>CDC-005</t>
  </si>
  <si>
    <t>CDC-015</t>
  </si>
  <si>
    <t>slev_std_1e6</t>
  </si>
  <si>
    <t>E</t>
  </si>
  <si>
    <t>CSU-21858</t>
  </si>
  <si>
    <t>CSU-21866</t>
  </si>
  <si>
    <t>CSU-21874</t>
  </si>
  <si>
    <t>CSU-21882</t>
  </si>
  <si>
    <t>CSU-21890</t>
  </si>
  <si>
    <t>CSU-21898</t>
  </si>
  <si>
    <t>CSU-21906</t>
  </si>
  <si>
    <t>CSU-21914</t>
  </si>
  <si>
    <t>CDC-008</t>
  </si>
  <si>
    <t>CDC-016</t>
  </si>
  <si>
    <t>slev_std_1e4</t>
  </si>
  <si>
    <t>F</t>
  </si>
  <si>
    <t>CSU-21859</t>
  </si>
  <si>
    <t>CSU-21867</t>
  </si>
  <si>
    <t>CSU-21875</t>
  </si>
  <si>
    <t>CSU-21883</t>
  </si>
  <si>
    <t>CSU-21891</t>
  </si>
  <si>
    <t>CSU-21899</t>
  </si>
  <si>
    <t>CSU-21907</t>
  </si>
  <si>
    <t>CSU-21915</t>
  </si>
  <si>
    <t>CDC-009</t>
  </si>
  <si>
    <t>CDC-017</t>
  </si>
  <si>
    <t>slev_std_1e2</t>
  </si>
  <si>
    <t>G</t>
  </si>
  <si>
    <t>CSU-21860</t>
  </si>
  <si>
    <t>CSU-21868</t>
  </si>
  <si>
    <t>CSU-21876</t>
  </si>
  <si>
    <t>CSU-21884</t>
  </si>
  <si>
    <t>CSU-21892</t>
  </si>
  <si>
    <t>CSU-21900</t>
  </si>
  <si>
    <t>CSU-21908</t>
  </si>
  <si>
    <t>CSU-21916</t>
  </si>
  <si>
    <t>CDC-010</t>
  </si>
  <si>
    <t>CDC-018</t>
  </si>
  <si>
    <t>neg pcr ctrl</t>
  </si>
  <si>
    <t>H</t>
  </si>
  <si>
    <t>CSU-21861</t>
  </si>
  <si>
    <t>CSU-21869</t>
  </si>
  <si>
    <t>CSU-21877</t>
  </si>
  <si>
    <t>CSU-21885</t>
  </si>
  <si>
    <t>CSU-21893</t>
  </si>
  <si>
    <t>CSU-21901</t>
  </si>
  <si>
    <t>CSU-21909</t>
  </si>
  <si>
    <t>CSU-21917</t>
  </si>
  <si>
    <t>CDC-011</t>
  </si>
  <si>
    <t>pos extract ctrl</t>
  </si>
  <si>
    <t xml:space="preserve"> neg extract ctl</t>
  </si>
  <si>
    <t>full protocol here -----------------------&gt;</t>
  </si>
  <si>
    <t>SS - RNA extraction</t>
  </si>
  <si>
    <t>SUPPLIES</t>
  </si>
  <si>
    <t>PROTOCOL CHECKLIST</t>
  </si>
  <si>
    <t>Machine/Reagent</t>
  </si>
  <si>
    <t>Group</t>
  </si>
  <si>
    <t>Lot/ID</t>
  </si>
  <si>
    <t>ethanol added to SPR (check mark on bottle)</t>
  </si>
  <si>
    <t>Kingfisher</t>
  </si>
  <si>
    <t>Ebel</t>
  </si>
  <si>
    <t>NA</t>
  </si>
  <si>
    <t>ethanol added to VHB  (check mark on bottle)</t>
  </si>
  <si>
    <t>TNA Lysis Buffer</t>
  </si>
  <si>
    <t>34905GE140</t>
  </si>
  <si>
    <t>pipettes changed between samples</t>
  </si>
  <si>
    <t>Isopropanol</t>
  </si>
  <si>
    <t>FoCo</t>
  </si>
  <si>
    <t>beads at room temp</t>
  </si>
  <si>
    <t>Proteanase K</t>
  </si>
  <si>
    <t>42122en52</t>
  </si>
  <si>
    <t>beads vortexed</t>
  </si>
  <si>
    <t>linear acrylamide</t>
  </si>
  <si>
    <t>beads and proteanase K thoroughly mixed prior to dispensing</t>
  </si>
  <si>
    <t>magbind beads</t>
  </si>
  <si>
    <t>5256cy127</t>
  </si>
  <si>
    <t>maintenance plate run done prior to sample run</t>
  </si>
  <si>
    <t>SPR</t>
  </si>
  <si>
    <t>32991fw59</t>
  </si>
  <si>
    <t>Return tip plate to top of robot</t>
  </si>
  <si>
    <t>VHB</t>
  </si>
  <si>
    <t>32994gg155</t>
  </si>
  <si>
    <t>VHB, SPR and SAMPLE Plates liquid in sink plates in gargabe</t>
  </si>
  <si>
    <t>dfh20</t>
  </si>
  <si>
    <t>34810dy68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</si>
  <si>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</si>
  <si>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</si>
  <si>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</si>
  <si>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</si>
  <si>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</si>
  <si>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 xml:space="preserve">- rerunning wk 25 because of failure of positive controls in the first run.                                                                                         </t>
  </si>
  <si>
    <t>Overage</t>
  </si>
  <si>
    <t>% over recommended to ensure enough volume for pipetting</t>
  </si>
  <si>
    <t>-Had to remake 8 samples worth of lysis buffer because ran low. may need to increase overage to 1.20 - accidentally reused tips from A to B when adding beads and proteanase K</t>
  </si>
  <si>
    <t>- accidentally reused tips from A to B when adding beads and proteanase K</t>
  </si>
  <si>
    <t>RXN CALCULATOR</t>
  </si>
  <si>
    <t>Sample MM1</t>
  </si>
  <si>
    <t>1X</t>
  </si>
  <si>
    <t>Total Reaction</t>
  </si>
  <si>
    <t>TNA lysis buffer</t>
  </si>
  <si>
    <t>isopropanol</t>
  </si>
  <si>
    <t>total</t>
  </si>
  <si>
    <t>Mini MM tube # and V</t>
  </si>
  <si>
    <t>Sample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</si>
  <si>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</si>
  <si>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</si>
  <si>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</si>
  <si>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</si>
  <si>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</si>
  <si>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</si>
  <si>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</si>
  <si>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</si>
  <si>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h2O pcr ctrl</t>
  </si>
  <si>
    <t>SS - Multiplex qRT-PCR</t>
  </si>
  <si>
    <t>using 0.1 pcr plate</t>
  </si>
  <si>
    <t>Quantstudio</t>
  </si>
  <si>
    <t>neg pcr control added</t>
  </si>
  <si>
    <t>Mastermix</t>
  </si>
  <si>
    <t>2881788</t>
  </si>
  <si>
    <t>changed pipettes between samples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</si>
  <si>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</si>
  <si>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</si>
  <si>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</si>
  <si>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</si>
  <si>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</si>
  <si>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"Plate #" in the file name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</si>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</sst>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/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1.0"/>
      <color rgb="FF1F1F1F"/>
      <name val="&quot;Google Sans&quot;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8" fillId="3" fontId="2" numFmtId="0" xfId="0" applyAlignment="1" applyBorder="1" applyFont="1">
      <alignment readingOrder="0"/>
    </xf>
    <xf borderId="9" fillId="3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0" fillId="4" fontId="6" numFmtId="0" xfId="0" applyAlignment="1" applyBorder="1" applyFill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13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14" fillId="0" fontId="2" numFmtId="0" xfId="0" applyAlignment="1" applyBorder="1" applyFont="1">
      <alignment readingOrder="0"/>
    </xf>
    <xf borderId="15" fillId="0" fontId="7" numFmtId="0" xfId="0" applyBorder="1" applyFont="1"/>
    <xf borderId="16" fillId="0" fontId="7" numFmtId="0" xfId="0" applyBorder="1" applyFont="1"/>
    <xf borderId="6" fillId="3" fontId="2" numFmtId="0" xfId="0" applyAlignment="1" applyBorder="1" applyFont="1">
      <alignment readingOrder="0"/>
    </xf>
    <xf borderId="13" fillId="0" fontId="9" numFmtId="0" xfId="0" applyAlignment="1" applyBorder="1" applyFont="1">
      <alignment vertical="bottom"/>
    </xf>
    <xf borderId="5" fillId="3" fontId="9" numFmtId="0" xfId="0" applyAlignment="1" applyBorder="1" applyFont="1">
      <alignment readingOrder="0" vertical="bottom"/>
    </xf>
    <xf borderId="6" fillId="3" fontId="9" numFmtId="0" xfId="0" applyAlignment="1" applyBorder="1" applyFont="1">
      <alignment horizontal="center" readingOrder="0" vertical="bottom"/>
    </xf>
    <xf borderId="17" fillId="0" fontId="9" numFmtId="0" xfId="0" applyAlignment="1" applyBorder="1" applyFont="1">
      <alignment readingOrder="0" vertical="bottom"/>
    </xf>
    <xf borderId="9" fillId="3" fontId="9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1" fillId="4" fontId="10" numFmtId="0" xfId="0" applyAlignment="1" applyBorder="1" applyFont="1">
      <alignment horizontal="center" readingOrder="0" vertical="bottom"/>
    </xf>
    <xf borderId="22" fillId="4" fontId="6" numFmtId="0" xfId="0" applyAlignment="1" applyBorder="1" applyFont="1">
      <alignment horizontal="center" readingOrder="0"/>
    </xf>
    <xf borderId="23" fillId="0" fontId="7" numFmtId="0" xfId="0" applyBorder="1" applyFont="1"/>
    <xf borderId="24" fillId="0" fontId="7" numFmtId="0" xfId="0" applyBorder="1" applyFont="1"/>
    <xf borderId="5" fillId="0" fontId="8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wrapText="1"/>
    </xf>
    <xf borderId="5" fillId="0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readingOrder="0" shrinkToFit="0" vertical="bottom" wrapText="1"/>
    </xf>
    <xf borderId="25" fillId="5" fontId="13" numFmtId="0" xfId="0" applyAlignment="1" applyBorder="1" applyFill="1" applyFont="1">
      <alignment horizontal="left" readingOrder="0"/>
    </xf>
    <xf borderId="26" fillId="0" fontId="7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25" fillId="5" fontId="16" numFmtId="0" xfId="0" applyAlignment="1" applyBorder="1" applyFont="1">
      <alignment readingOrder="0"/>
    </xf>
    <xf borderId="10" fillId="4" fontId="10" numFmtId="0" xfId="0" applyAlignment="1" applyBorder="1" applyFont="1">
      <alignment horizontal="center" readingOrder="0" vertical="bottom"/>
    </xf>
    <xf borderId="25" fillId="0" fontId="12" numFmtId="0" xfId="0" applyAlignment="1" applyBorder="1" applyFont="1">
      <alignment readingOrder="0" shrinkToFit="0" vertical="top" wrapText="1"/>
    </xf>
    <xf borderId="13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13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13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readingOrder="0" vertical="bottom"/>
    </xf>
    <xf borderId="27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3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13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13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readingOrder="0" vertical="bottom"/>
    </xf>
    <xf borderId="28" fillId="0" fontId="9" numFmtId="0" xfId="0" applyAlignment="1" applyBorder="1" applyFont="1">
      <alignment readingOrder="0" vertical="bottom"/>
    </xf>
    <xf borderId="29" fillId="0" fontId="9" numFmtId="0" xfId="0" applyAlignment="1" applyBorder="1" applyFont="1">
      <alignment vertical="bottom"/>
    </xf>
    <xf borderId="30" fillId="0" fontId="2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5" fillId="0" fontId="2" numFmtId="0" xfId="0" applyAlignment="1" applyBorder="1" applyFont="1">
      <alignment readingOrder="0"/>
    </xf>
    <xf borderId="27" fillId="6" fontId="21" numFmtId="0" xfId="0" applyBorder="1" applyFill="1" applyFont="1"/>
    <xf borderId="27" fillId="7" fontId="21" numFmtId="0" xfId="0" applyBorder="1" applyFill="1" applyFont="1"/>
    <xf borderId="27" fillId="8" fontId="21" numFmtId="0" xfId="0" applyBorder="1" applyFill="1" applyFont="1"/>
    <xf borderId="27" fillId="9" fontId="21" numFmtId="0" xfId="0" applyAlignment="1" applyBorder="1" applyFill="1" applyFont="1">
      <alignment readingOrder="0"/>
    </xf>
    <xf borderId="9" fillId="10" fontId="2" numFmtId="0" xfId="0" applyAlignment="1" applyBorder="1" applyFill="1" applyFont="1">
      <alignment readingOrder="0"/>
    </xf>
    <xf borderId="10" fillId="11" fontId="6" numFmtId="0" xfId="0" applyAlignment="1" applyBorder="1" applyFill="1" applyFont="1">
      <alignment horizontal="center" readingOrder="0"/>
    </xf>
    <xf borderId="13" fillId="0" fontId="9" numFmtId="0" xfId="0" applyAlignment="1" applyBorder="1" applyFont="1">
      <alignment readingOrder="0" vertical="bottom"/>
    </xf>
    <xf borderId="6" fillId="3" fontId="9" numFmtId="49" xfId="0" applyAlignment="1" applyBorder="1" applyFont="1" applyNumberFormat="1">
      <alignment horizontal="center" readingOrder="0" vertical="bottom"/>
    </xf>
    <xf borderId="8" fillId="3" fontId="9" numFmtId="0" xfId="0" applyAlignment="1" applyBorder="1" applyFont="1">
      <alignment readingOrder="0" vertical="bottom"/>
    </xf>
    <xf borderId="9" fillId="3" fontId="9" numFmtId="49" xfId="0" applyAlignment="1" applyBorder="1" applyFont="1" applyNumberFormat="1">
      <alignment horizontal="center" readingOrder="0" vertical="bottom"/>
    </xf>
    <xf borderId="9" fillId="3" fontId="2" numFmtId="0" xfId="0" applyBorder="1" applyFont="1"/>
    <xf borderId="0" fillId="0" fontId="2" numFmtId="0" xfId="0" applyAlignment="1" applyFont="1">
      <alignment readingOrder="0"/>
    </xf>
    <xf borderId="21" fillId="11" fontId="10" numFmtId="0" xfId="0" applyAlignment="1" applyBorder="1" applyFont="1">
      <alignment horizontal="center" readingOrder="0" vertical="bottom"/>
    </xf>
    <xf borderId="1" fillId="11" fontId="6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33" fillId="0" fontId="2" numFmtId="0" xfId="0" applyBorder="1" applyFont="1"/>
    <xf borderId="34" fillId="0" fontId="7" numFmtId="0" xfId="0" applyBorder="1" applyFont="1"/>
    <xf borderId="4" fillId="0" fontId="7" numFmtId="0" xfId="0" applyBorder="1" applyFont="1"/>
    <xf borderId="27" fillId="0" fontId="7" numFmtId="0" xfId="0" applyBorder="1" applyFont="1"/>
    <xf borderId="10" fillId="11" fontId="10" numFmtId="0" xfId="0" applyAlignment="1" applyBorder="1" applyFont="1">
      <alignment horizontal="center" readingOrder="0" vertical="bottom"/>
    </xf>
    <xf borderId="13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7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7.25"/>
  </cols>
  <sheetData>
    <row r="1">
      <c r="A1" s="1" t="s">
        <v>0</v>
      </c>
      <c r="B1" s="2"/>
    </row>
    <row r="2">
      <c r="A2" s="1">
        <v>1.0</v>
      </c>
      <c r="B2" s="1" t="s">
        <v>1</v>
      </c>
    </row>
    <row r="3">
      <c r="A3" s="1">
        <v>2.0</v>
      </c>
      <c r="B3" s="1" t="s">
        <v>2</v>
      </c>
    </row>
    <row r="4">
      <c r="A4" s="1">
        <v>3.0</v>
      </c>
      <c r="B4" s="1" t="s">
        <v>3</v>
      </c>
    </row>
    <row r="5">
      <c r="A5" s="3">
        <v>4.0</v>
      </c>
      <c r="B5" s="3" t="s">
        <v>4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/>
      <c r="M2" s="10" t="s">
        <v>16</v>
      </c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/>
      <c r="M3" s="10" t="s">
        <v>28</v>
      </c>
    </row>
    <row r="4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/>
      <c r="M4" s="10" t="s">
        <v>40</v>
      </c>
    </row>
    <row r="5">
      <c r="A5" s="8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/>
      <c r="M5" s="10" t="s">
        <v>52</v>
      </c>
    </row>
    <row r="6">
      <c r="A6" s="8" t="s">
        <v>53</v>
      </c>
      <c r="B6" s="9" t="s">
        <v>54</v>
      </c>
      <c r="C6" s="9" t="s">
        <v>55</v>
      </c>
      <c r="D6" s="9" t="s">
        <v>56</v>
      </c>
      <c r="E6" s="9" t="s">
        <v>57</v>
      </c>
      <c r="F6" s="9" t="s">
        <v>58</v>
      </c>
      <c r="G6" s="9" t="s">
        <v>59</v>
      </c>
      <c r="H6" s="9" t="s">
        <v>60</v>
      </c>
      <c r="I6" s="9" t="s">
        <v>61</v>
      </c>
      <c r="J6" s="9" t="s">
        <v>62</v>
      </c>
      <c r="K6" s="9" t="s">
        <v>63</v>
      </c>
      <c r="L6" s="9"/>
      <c r="M6" s="10" t="s">
        <v>64</v>
      </c>
    </row>
    <row r="7">
      <c r="A7" s="8" t="s">
        <v>65</v>
      </c>
      <c r="B7" s="9" t="s">
        <v>66</v>
      </c>
      <c r="C7" s="9" t="s">
        <v>67</v>
      </c>
      <c r="D7" s="9" t="s">
        <v>68</v>
      </c>
      <c r="E7" s="9" t="s">
        <v>69</v>
      </c>
      <c r="F7" s="9" t="s">
        <v>70</v>
      </c>
      <c r="G7" s="9" t="s">
        <v>71</v>
      </c>
      <c r="H7" s="9" t="s">
        <v>72</v>
      </c>
      <c r="I7" s="9" t="s">
        <v>73</v>
      </c>
      <c r="J7" s="9" t="s">
        <v>74</v>
      </c>
      <c r="K7" s="9" t="s">
        <v>75</v>
      </c>
      <c r="L7" s="9"/>
      <c r="M7" s="10" t="s">
        <v>76</v>
      </c>
    </row>
    <row r="8">
      <c r="A8" s="8" t="s">
        <v>77</v>
      </c>
      <c r="B8" s="9" t="s">
        <v>78</v>
      </c>
      <c r="C8" s="9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84</v>
      </c>
      <c r="I8" s="9" t="s">
        <v>85</v>
      </c>
      <c r="J8" s="9" t="s">
        <v>86</v>
      </c>
      <c r="K8" s="9" t="s">
        <v>87</v>
      </c>
      <c r="L8" s="9"/>
      <c r="M8" s="11" t="s">
        <v>88</v>
      </c>
    </row>
    <row r="9">
      <c r="A9" s="12" t="s">
        <v>89</v>
      </c>
      <c r="B9" s="13" t="s">
        <v>90</v>
      </c>
      <c r="C9" s="13" t="s">
        <v>91</v>
      </c>
      <c r="D9" s="13" t="s">
        <v>92</v>
      </c>
      <c r="E9" s="13" t="s">
        <v>93</v>
      </c>
      <c r="F9" s="13" t="s">
        <v>94</v>
      </c>
      <c r="G9" s="13" t="s">
        <v>95</v>
      </c>
      <c r="H9" s="13" t="s">
        <v>96</v>
      </c>
      <c r="I9" s="13" t="s">
        <v>97</v>
      </c>
      <c r="J9" s="13" t="s">
        <v>98</v>
      </c>
      <c r="K9" s="13"/>
      <c r="L9" s="13" t="s">
        <v>99</v>
      </c>
      <c r="M9" s="14" t="s">
        <v>100</v>
      </c>
    </row>
    <row r="11">
      <c r="E11" s="15" t="s">
        <v>101</v>
      </c>
      <c r="G11" s="16" t="s">
        <v>102</v>
      </c>
    </row>
    <row r="12">
      <c r="A12" s="17" t="s">
        <v>103</v>
      </c>
      <c r="B12" s="18"/>
      <c r="C12" s="19"/>
      <c r="E12" s="17" t="s">
        <v>104</v>
      </c>
      <c r="F12" s="18"/>
      <c r="G12" s="18"/>
      <c r="H12" s="18"/>
      <c r="I12" s="19"/>
    </row>
    <row r="13">
      <c r="A13" s="20" t="s">
        <v>105</v>
      </c>
      <c r="B13" s="21" t="s">
        <v>106</v>
      </c>
      <c r="C13" s="22" t="s">
        <v>107</v>
      </c>
      <c r="E13" s="23" t="s">
        <v>108</v>
      </c>
      <c r="F13" s="24"/>
      <c r="G13" s="24"/>
      <c r="H13" s="25"/>
      <c r="I13" s="26" t="b">
        <v>1</v>
      </c>
    </row>
    <row r="14">
      <c r="A14" s="27" t="s">
        <v>109</v>
      </c>
      <c r="B14" s="28" t="s">
        <v>110</v>
      </c>
      <c r="C14" s="29" t="s">
        <v>111</v>
      </c>
      <c r="E14" s="23" t="s">
        <v>112</v>
      </c>
      <c r="F14" s="24"/>
      <c r="G14" s="24"/>
      <c r="H14" s="25"/>
      <c r="I14" s="26" t="b">
        <v>1</v>
      </c>
    </row>
    <row r="15">
      <c r="A15" s="27" t="s">
        <v>113</v>
      </c>
      <c r="B15" s="28" t="s">
        <v>110</v>
      </c>
      <c r="C15" s="29" t="s">
        <v>114</v>
      </c>
      <c r="E15" s="23" t="s">
        <v>115</v>
      </c>
      <c r="F15" s="24"/>
      <c r="G15" s="24"/>
      <c r="H15" s="25"/>
      <c r="I15" s="26" t="b">
        <v>1</v>
      </c>
    </row>
    <row r="16">
      <c r="A16" s="27" t="s">
        <v>116</v>
      </c>
      <c r="B16" s="28" t="s">
        <v>117</v>
      </c>
      <c r="C16" s="29">
        <v>234091.0</v>
      </c>
      <c r="E16" s="23" t="s">
        <v>118</v>
      </c>
      <c r="F16" s="24"/>
      <c r="G16" s="24"/>
      <c r="H16" s="25"/>
      <c r="I16" s="26" t="b">
        <v>1</v>
      </c>
    </row>
    <row r="17">
      <c r="A17" s="27" t="s">
        <v>119</v>
      </c>
      <c r="B17" s="28" t="s">
        <v>110</v>
      </c>
      <c r="C17" s="29" t="s">
        <v>120</v>
      </c>
      <c r="E17" s="23" t="s">
        <v>121</v>
      </c>
      <c r="F17" s="24"/>
      <c r="G17" s="24"/>
      <c r="H17" s="25"/>
      <c r="I17" s="26" t="b">
        <v>1</v>
      </c>
    </row>
    <row r="18">
      <c r="A18" s="27" t="s">
        <v>122</v>
      </c>
      <c r="B18" s="28" t="s">
        <v>110</v>
      </c>
      <c r="C18" s="29">
        <v>1332449.0</v>
      </c>
      <c r="E18" s="23" t="s">
        <v>123</v>
      </c>
      <c r="F18" s="24"/>
      <c r="G18" s="24"/>
      <c r="H18" s="25"/>
      <c r="I18" s="26" t="b">
        <v>1</v>
      </c>
    </row>
    <row r="19">
      <c r="A19" s="27" t="s">
        <v>124</v>
      </c>
      <c r="B19" s="28" t="s">
        <v>110</v>
      </c>
      <c r="C19" s="29" t="s">
        <v>125</v>
      </c>
      <c r="E19" s="23" t="s">
        <v>126</v>
      </c>
      <c r="F19" s="24"/>
      <c r="G19" s="24"/>
      <c r="H19" s="25"/>
      <c r="I19" s="26" t="b">
        <v>1</v>
      </c>
    </row>
    <row r="20">
      <c r="A20" s="27" t="s">
        <v>127</v>
      </c>
      <c r="B20" s="28" t="s">
        <v>110</v>
      </c>
      <c r="C20" s="29" t="s">
        <v>128</v>
      </c>
      <c r="E20" s="23" t="s">
        <v>129</v>
      </c>
      <c r="F20" s="24"/>
      <c r="G20" s="24"/>
      <c r="H20" s="25"/>
      <c r="I20" s="26" t="b">
        <v>1</v>
      </c>
    </row>
    <row r="21">
      <c r="A21" s="27" t="s">
        <v>130</v>
      </c>
      <c r="B21" s="28" t="s">
        <v>110</v>
      </c>
      <c r="C21" s="29" t="s">
        <v>131</v>
      </c>
      <c r="E21" s="23" t="s">
        <v>132</v>
      </c>
      <c r="F21" s="24"/>
      <c r="G21" s="24"/>
      <c r="H21" s="25"/>
      <c r="I21" s="26" t="b">
        <v>1</v>
      </c>
    </row>
    <row r="22">
      <c r="A22" s="30" t="s">
        <v>133</v>
      </c>
      <c r="B22" s="28" t="s">
        <v>110</v>
      </c>
      <c r="C22" s="31" t="s">
        <v>134</v>
      </c>
      <c r="E22" s="32" t="s">
        <v>135</v>
      </c>
      <c r="F22" s="33"/>
      <c r="G22" s="33"/>
      <c r="H22" s="34"/>
      <c r="I22" s="14" t="b">
        <v>1</v>
      </c>
    </row>
    <row r="23">
      <c r="A23" s="35"/>
      <c r="B23" s="36"/>
      <c r="C23" s="35"/>
    </row>
    <row r="25">
      <c r="A25" s="37" t="s">
        <v>136</v>
      </c>
      <c r="B25" s="24"/>
      <c r="C25" s="25"/>
      <c r="E25" s="38" t="s">
        <v>137</v>
      </c>
      <c r="F25" s="39"/>
      <c r="G25" s="39"/>
      <c r="H25" s="39"/>
      <c r="I25" s="39"/>
      <c r="J25" s="39"/>
      <c r="K25" s="39"/>
      <c r="L25" s="40"/>
    </row>
    <row r="26" ht="48.75" customHeight="1">
      <c r="A26" s="41" t="s">
        <v>138</v>
      </c>
      <c r="B26" s="42">
        <f>COUNTA($B$2:$L$9,$M$9)</f>
        <v>81</v>
      </c>
      <c r="C26" s="43" t="s">
        <v>139</v>
      </c>
      <c r="E26" s="44" t="s">
        <v>140</v>
      </c>
      <c r="F26" s="39"/>
      <c r="G26" s="39"/>
      <c r="H26" s="39"/>
      <c r="I26" s="39"/>
      <c r="J26" s="39"/>
      <c r="K26" s="39"/>
      <c r="L26" s="40"/>
    </row>
    <row r="27" ht="48.75" customHeight="1">
      <c r="A27" s="41" t="s">
        <v>141</v>
      </c>
      <c r="B27" s="45">
        <v>1.2</v>
      </c>
      <c r="C27" s="43" t="s">
        <v>142</v>
      </c>
      <c r="E27" s="46" t="s">
        <v>143</v>
      </c>
      <c r="L27" s="47"/>
    </row>
    <row r="28">
      <c r="A28" s="48"/>
      <c r="B28" s="48"/>
      <c r="C28" s="49"/>
      <c r="E28" s="50" t="s">
        <v>144</v>
      </c>
      <c r="L28" s="47"/>
    </row>
    <row r="29" ht="42.0" customHeight="1">
      <c r="A29" s="51" t="s">
        <v>145</v>
      </c>
      <c r="B29" s="18"/>
      <c r="C29" s="19"/>
      <c r="E29" s="52"/>
      <c r="L29" s="47"/>
    </row>
    <row r="30">
      <c r="A30" s="53" t="s">
        <v>146</v>
      </c>
      <c r="B30" s="54" t="s">
        <v>147</v>
      </c>
      <c r="C30" s="55" t="s">
        <v>148</v>
      </c>
      <c r="E30" s="52"/>
      <c r="L30" s="47"/>
    </row>
    <row r="31">
      <c r="A31" s="56" t="s">
        <v>149</v>
      </c>
      <c r="B31" s="57">
        <v>60.0</v>
      </c>
      <c r="C31" s="58">
        <f t="shared" ref="C31:C34" si="1">B31*$B$26*$B$27</f>
        <v>5832</v>
      </c>
      <c r="E31" s="52"/>
      <c r="L31" s="47"/>
    </row>
    <row r="32">
      <c r="A32" s="56" t="s">
        <v>122</v>
      </c>
      <c r="B32" s="57">
        <v>1.0</v>
      </c>
      <c r="C32" s="58">
        <f t="shared" si="1"/>
        <v>97.2</v>
      </c>
      <c r="E32" s="52"/>
      <c r="L32" s="47"/>
    </row>
    <row r="33">
      <c r="A33" s="56" t="s">
        <v>150</v>
      </c>
      <c r="B33" s="57">
        <v>70.0</v>
      </c>
      <c r="C33" s="58">
        <f t="shared" si="1"/>
        <v>6804</v>
      </c>
      <c r="E33" s="52"/>
      <c r="L33" s="47"/>
    </row>
    <row r="34">
      <c r="A34" s="59" t="s">
        <v>151</v>
      </c>
      <c r="B34" s="60">
        <f>sum(B31:B33)</f>
        <v>131</v>
      </c>
      <c r="C34" s="58">
        <f t="shared" si="1"/>
        <v>12733.2</v>
      </c>
      <c r="E34" s="52"/>
      <c r="L34" s="47"/>
    </row>
    <row r="35">
      <c r="A35" s="61" t="s">
        <v>152</v>
      </c>
      <c r="B35" s="36">
        <v>8.0</v>
      </c>
      <c r="C35" s="62">
        <f>C34/B35</f>
        <v>1591.65</v>
      </c>
      <c r="E35" s="52"/>
      <c r="L35" s="47"/>
    </row>
    <row r="36">
      <c r="A36" s="63"/>
      <c r="B36" s="35"/>
      <c r="C36" s="62"/>
      <c r="E36" s="52"/>
      <c r="L36" s="47"/>
    </row>
    <row r="37">
      <c r="A37" s="64" t="s">
        <v>153</v>
      </c>
      <c r="B37" s="65" t="s">
        <v>147</v>
      </c>
      <c r="C37" s="66" t="s">
        <v>148</v>
      </c>
      <c r="E37" s="52"/>
      <c r="L37" s="47"/>
    </row>
    <row r="38">
      <c r="A38" s="67" t="s">
        <v>154</v>
      </c>
      <c r="B38" s="68">
        <v>5.0</v>
      </c>
      <c r="C38" s="58">
        <f t="shared" ref="C38:C40" si="2">B38*$B$26*$B$27</f>
        <v>486</v>
      </c>
      <c r="E38" s="52"/>
      <c r="L38" s="47"/>
    </row>
    <row r="39">
      <c r="A39" s="67" t="s">
        <v>155</v>
      </c>
      <c r="B39" s="68">
        <v>5.0</v>
      </c>
      <c r="C39" s="58">
        <f t="shared" si="2"/>
        <v>486</v>
      </c>
      <c r="E39" s="52"/>
      <c r="L39" s="47"/>
    </row>
    <row r="40">
      <c r="A40" s="69" t="s">
        <v>151</v>
      </c>
      <c r="B40" s="70">
        <f>sum(B38:B39)</f>
        <v>10</v>
      </c>
      <c r="C40" s="58">
        <f t="shared" si="2"/>
        <v>972</v>
      </c>
      <c r="E40" s="52"/>
      <c r="L40" s="47"/>
    </row>
    <row r="41">
      <c r="A41" s="71" t="s">
        <v>152</v>
      </c>
      <c r="B41" s="72">
        <v>8.0</v>
      </c>
      <c r="C41" s="73">
        <f>C40/B41</f>
        <v>121.5</v>
      </c>
      <c r="E41" s="52"/>
      <c r="L41" s="47"/>
    </row>
    <row r="42">
      <c r="E42" s="74" t="s">
        <v>156</v>
      </c>
      <c r="F42" s="75"/>
      <c r="G42" s="75"/>
      <c r="H42" s="75"/>
      <c r="I42" s="75"/>
      <c r="J42" s="75"/>
      <c r="K42" s="75"/>
      <c r="L42" s="76"/>
    </row>
    <row r="43">
      <c r="A43" s="21" t="s">
        <v>157</v>
      </c>
      <c r="B43" s="77" t="s">
        <v>158</v>
      </c>
      <c r="C43" s="77" t="s">
        <v>159</v>
      </c>
    </row>
    <row r="44">
      <c r="A44" s="78" t="s">
        <v>160</v>
      </c>
      <c r="B44" s="79">
        <v>200.0</v>
      </c>
      <c r="C44" s="79">
        <f>2*B44*$B$26*$B$27</f>
        <v>38880</v>
      </c>
    </row>
    <row r="45">
      <c r="A45" s="78" t="s">
        <v>130</v>
      </c>
      <c r="B45" s="79">
        <v>200.0</v>
      </c>
      <c r="C45" s="79">
        <f t="shared" ref="C45:C46" si="3">B45*$B$26*$B$27</f>
        <v>19440</v>
      </c>
    </row>
    <row r="46">
      <c r="A46" s="80" t="s">
        <v>161</v>
      </c>
      <c r="B46" s="80">
        <v>50.0</v>
      </c>
      <c r="C46" s="79">
        <f t="shared" si="3"/>
        <v>4860</v>
      </c>
    </row>
  </sheetData>
  <mergeCells count="31">
    <mergeCell ref="A12:C12"/>
    <mergeCell ref="E12:I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A25:C25"/>
    <mergeCell ref="E25:L25"/>
    <mergeCell ref="E26:L26"/>
    <mergeCell ref="E27:L27"/>
    <mergeCell ref="E28:L28"/>
    <mergeCell ref="A29:C29"/>
    <mergeCell ref="E29:L29"/>
    <mergeCell ref="E30:L30"/>
    <mergeCell ref="E31:L31"/>
    <mergeCell ref="E39:L39"/>
    <mergeCell ref="E40:L40"/>
    <mergeCell ref="E41:L41"/>
    <mergeCell ref="E32:L32"/>
    <mergeCell ref="E33:L33"/>
    <mergeCell ref="E34:L34"/>
    <mergeCell ref="E35:L35"/>
    <mergeCell ref="E36:L36"/>
    <mergeCell ref="E37:L37"/>
    <mergeCell ref="E38:L38"/>
  </mergeCells>
  <dataValidations>
    <dataValidation type="list" allowBlank="1" showErrorMessage="1" sqref="B14:B22">
      <formula1>"Ebel,FoCo,RahpVec"</formula1>
    </dataValidation>
  </dataValidations>
  <hyperlinks>
    <hyperlink r:id="rId1" ref="G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/>
      <c r="M2" s="81" t="s">
        <v>16</v>
      </c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/>
      <c r="M3" s="82" t="s">
        <v>28</v>
      </c>
    </row>
    <row r="4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/>
      <c r="M4" s="83" t="s">
        <v>40</v>
      </c>
    </row>
    <row r="5">
      <c r="A5" s="8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/>
      <c r="M5" s="81" t="s">
        <v>52</v>
      </c>
    </row>
    <row r="6">
      <c r="A6" s="8" t="s">
        <v>53</v>
      </c>
      <c r="B6" s="9" t="s">
        <v>54</v>
      </c>
      <c r="C6" s="9" t="s">
        <v>55</v>
      </c>
      <c r="D6" s="9" t="s">
        <v>56</v>
      </c>
      <c r="E6" s="9" t="s">
        <v>57</v>
      </c>
      <c r="F6" s="9" t="s">
        <v>58</v>
      </c>
      <c r="G6" s="9" t="s">
        <v>59</v>
      </c>
      <c r="H6" s="9" t="s">
        <v>60</v>
      </c>
      <c r="I6" s="9" t="s">
        <v>61</v>
      </c>
      <c r="J6" s="9" t="s">
        <v>62</v>
      </c>
      <c r="K6" s="9" t="s">
        <v>63</v>
      </c>
      <c r="L6" s="9"/>
      <c r="M6" s="82" t="s">
        <v>64</v>
      </c>
    </row>
    <row r="7">
      <c r="A7" s="8" t="s">
        <v>65</v>
      </c>
      <c r="B7" s="9" t="s">
        <v>66</v>
      </c>
      <c r="C7" s="9" t="s">
        <v>67</v>
      </c>
      <c r="D7" s="9" t="s">
        <v>68</v>
      </c>
      <c r="E7" s="9" t="s">
        <v>69</v>
      </c>
      <c r="F7" s="9" t="s">
        <v>70</v>
      </c>
      <c r="G7" s="9" t="s">
        <v>71</v>
      </c>
      <c r="H7" s="9" t="s">
        <v>72</v>
      </c>
      <c r="I7" s="9" t="s">
        <v>73</v>
      </c>
      <c r="J7" s="9" t="s">
        <v>74</v>
      </c>
      <c r="K7" s="9" t="s">
        <v>75</v>
      </c>
      <c r="L7" s="9"/>
      <c r="M7" s="83" t="s">
        <v>76</v>
      </c>
    </row>
    <row r="8">
      <c r="A8" s="8" t="s">
        <v>77</v>
      </c>
      <c r="B8" s="9" t="s">
        <v>78</v>
      </c>
      <c r="C8" s="9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84</v>
      </c>
      <c r="I8" s="9" t="s">
        <v>85</v>
      </c>
      <c r="J8" s="9" t="s">
        <v>86</v>
      </c>
      <c r="K8" s="9" t="s">
        <v>87</v>
      </c>
      <c r="L8" s="9"/>
      <c r="M8" s="84" t="s">
        <v>162</v>
      </c>
    </row>
    <row r="9">
      <c r="A9" s="12" t="s">
        <v>89</v>
      </c>
      <c r="B9" s="13" t="s">
        <v>90</v>
      </c>
      <c r="C9" s="13" t="s">
        <v>91</v>
      </c>
      <c r="D9" s="13" t="s">
        <v>92</v>
      </c>
      <c r="E9" s="13" t="s">
        <v>93</v>
      </c>
      <c r="F9" s="13" t="s">
        <v>94</v>
      </c>
      <c r="G9" s="13" t="s">
        <v>95</v>
      </c>
      <c r="H9" s="13" t="s">
        <v>96</v>
      </c>
      <c r="I9" s="13" t="s">
        <v>97</v>
      </c>
      <c r="J9" s="13" t="s">
        <v>98</v>
      </c>
      <c r="K9" s="13" t="s">
        <v>99</v>
      </c>
      <c r="L9" s="9"/>
      <c r="M9" s="85" t="s">
        <v>100</v>
      </c>
    </row>
    <row r="11">
      <c r="E11" s="15" t="s">
        <v>101</v>
      </c>
      <c r="G11" s="16" t="s">
        <v>163</v>
      </c>
    </row>
    <row r="12">
      <c r="A12" s="86" t="s">
        <v>103</v>
      </c>
      <c r="B12" s="18"/>
      <c r="C12" s="19"/>
      <c r="E12" s="86" t="s">
        <v>104</v>
      </c>
      <c r="F12" s="18"/>
      <c r="G12" s="18"/>
      <c r="H12" s="18"/>
      <c r="I12" s="19"/>
    </row>
    <row r="13">
      <c r="A13" s="20" t="s">
        <v>105</v>
      </c>
      <c r="B13" s="21" t="s">
        <v>106</v>
      </c>
      <c r="C13" s="22" t="s">
        <v>107</v>
      </c>
      <c r="E13" s="23" t="s">
        <v>164</v>
      </c>
      <c r="F13" s="24"/>
      <c r="G13" s="24"/>
      <c r="H13" s="25"/>
      <c r="I13" s="26" t="b">
        <v>1</v>
      </c>
    </row>
    <row r="14">
      <c r="A14" s="87" t="s">
        <v>165</v>
      </c>
      <c r="B14" s="28" t="s">
        <v>117</v>
      </c>
      <c r="C14" s="88" t="s">
        <v>111</v>
      </c>
      <c r="E14" s="23" t="s">
        <v>166</v>
      </c>
      <c r="F14" s="24"/>
      <c r="G14" s="24"/>
      <c r="H14" s="25"/>
      <c r="I14" s="26" t="b">
        <v>1</v>
      </c>
    </row>
    <row r="15">
      <c r="A15" s="87" t="s">
        <v>167</v>
      </c>
      <c r="B15" s="28" t="s">
        <v>117</v>
      </c>
      <c r="C15" s="88" t="s">
        <v>168</v>
      </c>
      <c r="E15" s="23" t="s">
        <v>169</v>
      </c>
      <c r="F15" s="24"/>
      <c r="G15" s="24"/>
      <c r="H15" s="25"/>
      <c r="I15" s="26" t="b">
        <v>1</v>
      </c>
    </row>
    <row r="16">
      <c r="A16" s="87" t="s">
        <v>170</v>
      </c>
      <c r="B16" s="28" t="s">
        <v>117</v>
      </c>
      <c r="C16" s="88" t="s">
        <v>111</v>
      </c>
      <c r="E16" s="23" t="s">
        <v>171</v>
      </c>
      <c r="F16" s="24"/>
      <c r="G16" s="24"/>
      <c r="H16" s="25"/>
      <c r="I16" s="26" t="b">
        <v>1</v>
      </c>
    </row>
    <row r="17">
      <c r="A17" s="30" t="s">
        <v>172</v>
      </c>
      <c r="B17" s="89" t="s">
        <v>117</v>
      </c>
      <c r="C17" s="90" t="s">
        <v>173</v>
      </c>
      <c r="E17" s="23" t="s">
        <v>174</v>
      </c>
      <c r="F17" s="24"/>
      <c r="G17" s="24"/>
      <c r="H17" s="25"/>
      <c r="I17" s="26" t="b">
        <v>1</v>
      </c>
    </row>
    <row r="18">
      <c r="A18" s="35"/>
      <c r="B18" s="35"/>
      <c r="C18" s="35"/>
      <c r="E18" s="32" t="s">
        <v>175</v>
      </c>
      <c r="F18" s="33"/>
      <c r="G18" s="33"/>
      <c r="H18" s="34"/>
      <c r="I18" s="91" t="b">
        <v>0</v>
      </c>
    </row>
    <row r="19">
      <c r="A19" s="35"/>
      <c r="B19" s="35"/>
      <c r="C19" s="35"/>
      <c r="E19" s="92"/>
    </row>
    <row r="20">
      <c r="A20" s="93" t="s">
        <v>136</v>
      </c>
      <c r="B20" s="24"/>
      <c r="C20" s="25"/>
      <c r="E20" s="94" t="s">
        <v>137</v>
      </c>
      <c r="F20" s="95"/>
      <c r="G20" s="95"/>
      <c r="H20" s="95"/>
      <c r="I20" s="95"/>
      <c r="J20" s="95"/>
      <c r="K20" s="95"/>
      <c r="L20" s="95"/>
      <c r="M20" s="96"/>
    </row>
    <row r="21" ht="42.75" customHeight="1">
      <c r="A21" s="41" t="s">
        <v>138</v>
      </c>
      <c r="B21" s="42">
        <f>COUNTA($B$2:$M$9)</f>
        <v>88</v>
      </c>
      <c r="C21" s="43" t="s">
        <v>176</v>
      </c>
      <c r="E21" s="97"/>
      <c r="F21" s="39"/>
      <c r="G21" s="39"/>
      <c r="H21" s="39"/>
      <c r="I21" s="39"/>
      <c r="J21" s="39"/>
      <c r="K21" s="39"/>
      <c r="L21" s="39"/>
      <c r="M21" s="98"/>
    </row>
    <row r="22" ht="59.25" customHeight="1">
      <c r="A22" s="41" t="s">
        <v>141</v>
      </c>
      <c r="B22" s="45">
        <v>1.2</v>
      </c>
      <c r="C22" s="43" t="s">
        <v>142</v>
      </c>
      <c r="E22" s="99"/>
      <c r="M22" s="100"/>
    </row>
    <row r="23">
      <c r="E23" s="99"/>
      <c r="M23" s="100"/>
    </row>
    <row r="24">
      <c r="E24" s="99"/>
      <c r="M24" s="100"/>
    </row>
    <row r="25">
      <c r="A25" s="101" t="s">
        <v>145</v>
      </c>
      <c r="B25" s="18"/>
      <c r="C25" s="19"/>
      <c r="E25" s="99"/>
      <c r="M25" s="100"/>
    </row>
    <row r="26">
      <c r="A26" s="53" t="s">
        <v>177</v>
      </c>
      <c r="B26" s="54" t="s">
        <v>147</v>
      </c>
      <c r="C26" s="55" t="s">
        <v>148</v>
      </c>
      <c r="E26" s="99"/>
      <c r="M26" s="100"/>
    </row>
    <row r="27">
      <c r="A27" s="102" t="s">
        <v>167</v>
      </c>
      <c r="B27" s="103">
        <v>10.0</v>
      </c>
      <c r="C27" s="58">
        <f t="shared" ref="C27:C29" si="1">B27*$B$21*$B$22</f>
        <v>1056</v>
      </c>
      <c r="E27" s="99"/>
      <c r="M27" s="100"/>
    </row>
    <row r="28">
      <c r="A28" s="102" t="s">
        <v>178</v>
      </c>
      <c r="B28" s="103">
        <v>4.0</v>
      </c>
      <c r="C28" s="58">
        <f t="shared" si="1"/>
        <v>422.4</v>
      </c>
      <c r="E28" s="99"/>
      <c r="M28" s="100"/>
    </row>
    <row r="29">
      <c r="A29" s="102" t="s">
        <v>179</v>
      </c>
      <c r="B29" s="103">
        <v>1.0</v>
      </c>
      <c r="C29" s="58">
        <f t="shared" si="1"/>
        <v>105.6</v>
      </c>
      <c r="E29" s="99"/>
      <c r="M29" s="100"/>
    </row>
    <row r="30">
      <c r="A30" s="59" t="s">
        <v>151</v>
      </c>
      <c r="B30" s="104">
        <f t="shared" ref="B30:C30" si="2">sum(B27:B29)</f>
        <v>15</v>
      </c>
      <c r="C30" s="58">
        <f t="shared" si="2"/>
        <v>1584</v>
      </c>
      <c r="E30" s="99"/>
      <c r="M30" s="100"/>
    </row>
    <row r="31">
      <c r="A31" s="71" t="s">
        <v>152</v>
      </c>
      <c r="B31" s="72">
        <v>8.0</v>
      </c>
      <c r="C31" s="73">
        <f>C30/B31</f>
        <v>198</v>
      </c>
      <c r="E31" s="105"/>
      <c r="F31" s="106"/>
      <c r="G31" s="106"/>
      <c r="H31" s="106"/>
      <c r="I31" s="106"/>
      <c r="J31" s="106"/>
      <c r="K31" s="106"/>
      <c r="L31" s="106"/>
      <c r="M31" s="107"/>
    </row>
    <row r="32">
      <c r="E32" s="92" t="s">
        <v>156</v>
      </c>
    </row>
    <row r="37">
      <c r="A37" s="35"/>
      <c r="B37" s="35"/>
      <c r="C37" s="35"/>
    </row>
    <row r="38">
      <c r="A38" s="35"/>
      <c r="B38" s="35"/>
      <c r="C38" s="35"/>
    </row>
    <row r="39">
      <c r="A39" s="108"/>
      <c r="B39" s="109"/>
      <c r="C39" s="108"/>
    </row>
    <row r="40">
      <c r="A40" s="110"/>
      <c r="B40" s="111"/>
      <c r="C40" s="112"/>
    </row>
    <row r="41">
      <c r="A41" s="110"/>
      <c r="B41" s="111"/>
      <c r="C41" s="112"/>
    </row>
    <row r="42">
      <c r="A42" s="109"/>
      <c r="B42" s="108"/>
      <c r="C42" s="112"/>
    </row>
    <row r="43">
      <c r="A43" s="35"/>
      <c r="B43" s="35"/>
      <c r="C43" s="35"/>
    </row>
  </sheetData>
  <mergeCells count="13">
    <mergeCell ref="E18:H18"/>
    <mergeCell ref="E19:H19"/>
    <mergeCell ref="A20:C20"/>
    <mergeCell ref="E20:M20"/>
    <mergeCell ref="E21:M31"/>
    <mergeCell ref="A25:C25"/>
    <mergeCell ref="A12:C12"/>
    <mergeCell ref="E12:I12"/>
    <mergeCell ref="E13:H13"/>
    <mergeCell ref="E14:H14"/>
    <mergeCell ref="E15:H15"/>
    <mergeCell ref="E16:H16"/>
    <mergeCell ref="E17:H17"/>
  </mergeCells>
  <dataValidations>
    <dataValidation type="list" allowBlank="1" showErrorMessage="1" sqref="B14:B17">
      <formula1>"Ebel,FoCo,RahpVec"</formula1>
    </dataValidation>
  </dataValidations>
  <hyperlinks>
    <hyperlink r:id="rId1" ref="G11"/>
  </hyperlinks>
  <drawing r:id="rId2"/>
</worksheet>
</file>
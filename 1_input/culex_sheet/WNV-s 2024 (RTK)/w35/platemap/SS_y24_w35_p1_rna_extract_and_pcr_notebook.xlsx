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<sst xmlns="http://schemas.openxmlformats.org/spreadsheetml/2006/main" count="335" uniqueCount="192">
  <si>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</si>
  <si>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</si>
  <si>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</si>
  <si>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</si>
  <si>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</si>
  <si>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</si>
  <si>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</si>
  <si>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</si>
  <si>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</si>
  <si>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</si>
  <si>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</si>
  <si>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</si>
  <si>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</si>
  <si>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</si>
  <si>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CSU-22916</t>
  </si>
  <si>
    <t>CSU-22924</t>
  </si>
  <si>
    <t>CSU-22932</t>
  </si>
  <si>
    <t>CSU-22940</t>
  </si>
  <si>
    <t>CSU-22948</t>
  </si>
  <si>
    <t>CSU-22956</t>
  </si>
  <si>
    <t>CSU-22964</t>
  </si>
  <si>
    <t>CSU-22972</t>
  </si>
  <si>
    <t>CSU-22980</t>
  </si>
  <si>
    <t>CSU-22988</t>
  </si>
  <si>
    <t>CSU-22996</t>
  </si>
  <si>
    <t>wnv_std_1e6</t>
  </si>
  <si>
    <t>B</t>
  </si>
  <si>
    <t>CSU-22917</t>
  </si>
  <si>
    <t>CSU-22925</t>
  </si>
  <si>
    <t>CSU-22933</t>
  </si>
  <si>
    <t>CSU-22941</t>
  </si>
  <si>
    <t>CSU-22949</t>
  </si>
  <si>
    <t>CSU-22957</t>
  </si>
  <si>
    <t>CSU-22965</t>
  </si>
  <si>
    <t>CSU-22973</t>
  </si>
  <si>
    <t>CSU-22981</t>
  </si>
  <si>
    <t>CSU-22989</t>
  </si>
  <si>
    <t>CSU-22997</t>
  </si>
  <si>
    <t>wnv_std_1e4</t>
  </si>
  <si>
    <t>C</t>
  </si>
  <si>
    <t>CSU-22918</t>
  </si>
  <si>
    <t>CSU-22926</t>
  </si>
  <si>
    <t>CSU-22934</t>
  </si>
  <si>
    <t>CSU-22942</t>
  </si>
  <si>
    <t>CSU-22950</t>
  </si>
  <si>
    <t>CSU-22958</t>
  </si>
  <si>
    <t>CSU-22966</t>
  </si>
  <si>
    <t>CSU-22974</t>
  </si>
  <si>
    <t>CSU-22982</t>
  </si>
  <si>
    <t>CSU-22990</t>
  </si>
  <si>
    <t>CSU-22998</t>
  </si>
  <si>
    <t>wnv_std_1e2</t>
  </si>
  <si>
    <t>D</t>
  </si>
  <si>
    <t>CSU-22919</t>
  </si>
  <si>
    <t>CSU-22927</t>
  </si>
  <si>
    <t>CSU-22935</t>
  </si>
  <si>
    <t>CSU-22943</t>
  </si>
  <si>
    <t>CSU-22951</t>
  </si>
  <si>
    <t>CSU-22959</t>
  </si>
  <si>
    <t>CSU-22967</t>
  </si>
  <si>
    <t>CSU-22975</t>
  </si>
  <si>
    <t>CSU-22983</t>
  </si>
  <si>
    <t>CSU-22991</t>
  </si>
  <si>
    <t>CSU-22999</t>
  </si>
  <si>
    <t>slev_std_1e6</t>
  </si>
  <si>
    <t>E</t>
  </si>
  <si>
    <t>CSU-22920</t>
  </si>
  <si>
    <t>CSU-22928</t>
  </si>
  <si>
    <t>CSU-22936</t>
  </si>
  <si>
    <t>CSU-22944</t>
  </si>
  <si>
    <t>CSU-22952</t>
  </si>
  <si>
    <t>CSU-22960</t>
  </si>
  <si>
    <t>CSU-22968</t>
  </si>
  <si>
    <t>CSU-22976</t>
  </si>
  <si>
    <t>CSU-22984</t>
  </si>
  <si>
    <t>CSU-22992</t>
  </si>
  <si>
    <t>CSU-23000</t>
  </si>
  <si>
    <t>slev_std_1e4</t>
  </si>
  <si>
    <t>F</t>
  </si>
  <si>
    <t>CSU-22921</t>
  </si>
  <si>
    <t>CSU-22929</t>
  </si>
  <si>
    <t>CSU-22937</t>
  </si>
  <si>
    <t>CSU-22945</t>
  </si>
  <si>
    <t>CSU-22953</t>
  </si>
  <si>
    <t>CSU-22961</t>
  </si>
  <si>
    <t>CSU-22969</t>
  </si>
  <si>
    <t>CSU-22977</t>
  </si>
  <si>
    <t>CSU-22985</t>
  </si>
  <si>
    <t>CSU-22993</t>
  </si>
  <si>
    <t>CSU-23001</t>
  </si>
  <si>
    <t>slev_std_1e2</t>
  </si>
  <si>
    <t>G</t>
  </si>
  <si>
    <t>CSU-22922</t>
  </si>
  <si>
    <t>CSU-22930</t>
  </si>
  <si>
    <t>CSU-22938</t>
  </si>
  <si>
    <t>CSU-22946</t>
  </si>
  <si>
    <t>CSU-22954</t>
  </si>
  <si>
    <t>CSU-22962</t>
  </si>
  <si>
    <t>CSU-22970</t>
  </si>
  <si>
    <t>CSU-22978</t>
  </si>
  <si>
    <t>CSU-22986</t>
  </si>
  <si>
    <t>CSU-22994</t>
  </si>
  <si>
    <t>CSU-23002</t>
  </si>
  <si>
    <t>neg pcr ctrl</t>
  </si>
  <si>
    <t>H</t>
  </si>
  <si>
    <t>CSU-22923</t>
  </si>
  <si>
    <t>CSU-22931</t>
  </si>
  <si>
    <t>CSU-22939</t>
  </si>
  <si>
    <t>CSU-22947</t>
  </si>
  <si>
    <t>CSU-22955</t>
  </si>
  <si>
    <t>CSU-22963</t>
  </si>
  <si>
    <t>CSU-22971</t>
  </si>
  <si>
    <t>CSU-22979</t>
  </si>
  <si>
    <t>CSU-22987</t>
  </si>
  <si>
    <t>CSU-22995</t>
  </si>
  <si>
    <t>pos ext ctl</t>
  </si>
  <si>
    <t xml:space="preserve"> neg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</si>
  <si>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</si>
  <si>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</si>
  <si>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</si>
  <si>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</si>
  <si>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</si>
  <si>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</si>
  <si>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</si>
  <si>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</si>
  <si>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</si>
  <si>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</si>
  <si>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</si>
  <si>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</si>
  <si>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</si>
  <si>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</si>
  <si>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</si>
  <si>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</si>
  <si>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</si>
  <si>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</si>
  <si>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</si>
  <si>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</si>
  <si>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</si>
  <si>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</si>
  <si>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</si>
  <si>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</si>
  <si>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</si>
  <si>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</si>
  <si>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</si>
  <si>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</si>
  <si>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</si>
  <si>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</si>
  <si>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</si>
  <si>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</si>
  <si>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</si>
  <si>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</si>
  <si>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</si>
  <si>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</si>
  <si>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</si>
  <si>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</si>
  <si>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</si>
  <si>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</si>
  <si>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</si>
  <si>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</si>
  <si>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</si>
  <si>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</si>
  <si>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</si>
  <si>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</si>
  <si>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</si>
  <si>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</si>
  <si>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</si>
  <si>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</si>
  <si>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</si>
  <si>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</si>
  <si>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</si>
  <si>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</si>
  <si>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</si>
  <si>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</si>
  <si>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</si>
  <si>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Catalina</t>
  </si>
  <si>
    <t>SS - Multiplex qRT-PCR</t>
  </si>
  <si>
    <t>changed pipettes between samples</t>
  </si>
  <si>
    <t>Quantstudio</t>
  </si>
  <si>
    <t>neg pcr control added</t>
  </si>
  <si>
    <t>Mastermix</t>
  </si>
  <si>
    <t>2588173</t>
  </si>
  <si>
    <t>standards added</t>
  </si>
  <si>
    <t>primer probe</t>
  </si>
  <si>
    <t>Reagents put back in -4 C</t>
  </si>
  <si>
    <t>RT enzyme</t>
  </si>
  <si>
    <t>2904535</t>
  </si>
  <si>
    <t>baseline threshold changed to 34000 and hit Analyze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</si>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</sst>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6" fillId="0" fontId="5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Alignment="1" applyBorder="1" applyFont="1">
      <alignment readingOrder="0"/>
    </xf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Alignment="1" applyBorder="1" applyFont="1">
      <alignment readingOrder="0"/>
    </xf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vertical="bottom"/>
    </xf>
    <xf borderId="20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Alignment="1" applyFont="1">
      <alignment readingOrder="0"/>
    </xf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12" fillId="8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readingOrder="0" vertical="bottom"/>
    </xf>
    <xf borderId="9" fillId="3" fontId="11" numFmtId="49" xfId="0" applyAlignment="1" applyBorder="1" applyFont="1" applyNumberFormat="1">
      <alignment horizontal="center" readingOrder="0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8" fontId="12" numFmtId="0" xfId="0" applyAlignment="1" applyBorder="1" applyFont="1">
      <alignment horizontal="center" readingOrder="0" vertical="bottom"/>
    </xf>
    <xf borderId="12" fillId="8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11" t="s">
        <v>38</v>
      </c>
    </row>
    <row r="4">
      <c r="A4" s="9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11" t="s">
        <v>51</v>
      </c>
    </row>
    <row r="5">
      <c r="A5" s="9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11" t="s">
        <v>64</v>
      </c>
    </row>
    <row r="6">
      <c r="A6" s="9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73</v>
      </c>
      <c r="J6" s="10" t="s">
        <v>74</v>
      </c>
      <c r="K6" s="10" t="s">
        <v>75</v>
      </c>
      <c r="L6" s="10" t="s">
        <v>76</v>
      </c>
      <c r="M6" s="11" t="s">
        <v>77</v>
      </c>
    </row>
    <row r="7">
      <c r="A7" s="9" t="s">
        <v>78</v>
      </c>
      <c r="B7" s="10" t="s">
        <v>79</v>
      </c>
      <c r="C7" s="10" t="s">
        <v>80</v>
      </c>
      <c r="D7" s="10" t="s">
        <v>81</v>
      </c>
      <c r="E7" s="10" t="s">
        <v>82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88</v>
      </c>
      <c r="L7" s="10" t="s">
        <v>89</v>
      </c>
      <c r="M7" s="11" t="s">
        <v>90</v>
      </c>
    </row>
    <row r="8">
      <c r="A8" s="9" t="s">
        <v>91</v>
      </c>
      <c r="B8" s="10" t="s">
        <v>92</v>
      </c>
      <c r="C8" s="10" t="s">
        <v>93</v>
      </c>
      <c r="D8" s="10" t="s">
        <v>94</v>
      </c>
      <c r="E8" s="10" t="s">
        <v>95</v>
      </c>
      <c r="F8" s="10" t="s">
        <v>96</v>
      </c>
      <c r="G8" s="10" t="s">
        <v>97</v>
      </c>
      <c r="H8" s="10" t="s">
        <v>98</v>
      </c>
      <c r="I8" s="10" t="s">
        <v>99</v>
      </c>
      <c r="J8" s="10" t="s">
        <v>100</v>
      </c>
      <c r="K8" s="10" t="s">
        <v>101</v>
      </c>
      <c r="L8" s="10" t="s">
        <v>102</v>
      </c>
      <c r="M8" s="12" t="s">
        <v>103</v>
      </c>
    </row>
    <row r="9">
      <c r="A9" s="13" t="s">
        <v>104</v>
      </c>
      <c r="B9" s="14" t="s">
        <v>105</v>
      </c>
      <c r="C9" s="14" t="s">
        <v>106</v>
      </c>
      <c r="D9" s="14" t="s">
        <v>107</v>
      </c>
      <c r="E9" s="14" t="s">
        <v>108</v>
      </c>
      <c r="F9" s="14" t="s">
        <v>109</v>
      </c>
      <c r="G9" s="14" t="s">
        <v>110</v>
      </c>
      <c r="H9" s="14" t="s">
        <v>111</v>
      </c>
      <c r="I9" s="14" t="s">
        <v>112</v>
      </c>
      <c r="J9" s="14" t="s">
        <v>113</v>
      </c>
      <c r="K9" s="14" t="s">
        <v>114</v>
      </c>
      <c r="L9" s="14" t="s">
        <v>115</v>
      </c>
      <c r="M9" s="15" t="s">
        <v>116</v>
      </c>
    </row>
    <row r="11">
      <c r="F11" s="16" t="s">
        <v>117</v>
      </c>
      <c r="H11" s="17" t="s">
        <v>118</v>
      </c>
    </row>
    <row r="12">
      <c r="A12" s="18" t="s">
        <v>119</v>
      </c>
      <c r="B12" s="19"/>
      <c r="C12" s="20" t="s">
        <v>120</v>
      </c>
      <c r="F12" s="21" t="s">
        <v>121</v>
      </c>
      <c r="G12" s="22"/>
      <c r="H12" s="22"/>
      <c r="I12" s="22"/>
      <c r="J12" s="23"/>
    </row>
    <row r="13">
      <c r="F13" s="24" t="s">
        <v>122</v>
      </c>
      <c r="I13" s="25"/>
      <c r="J13" s="15" t="b">
        <v>1</v>
      </c>
    </row>
    <row r="14">
      <c r="A14" s="21" t="s">
        <v>123</v>
      </c>
      <c r="B14" s="22"/>
      <c r="C14" s="23"/>
      <c r="F14" s="26" t="s">
        <v>124</v>
      </c>
      <c r="G14" s="27"/>
      <c r="H14" s="27"/>
      <c r="I14" s="28"/>
      <c r="J14" s="29" t="b">
        <v>1</v>
      </c>
    </row>
    <row r="15">
      <c r="A15" s="30" t="s">
        <v>125</v>
      </c>
      <c r="B15" s="31" t="s">
        <v>126</v>
      </c>
      <c r="C15" s="32" t="s">
        <v>127</v>
      </c>
      <c r="F15" s="26" t="s">
        <v>128</v>
      </c>
      <c r="G15" s="27"/>
      <c r="H15" s="27"/>
      <c r="I15" s="28"/>
      <c r="J15" s="29" t="b">
        <v>1</v>
      </c>
    </row>
    <row r="16">
      <c r="A16" s="33"/>
      <c r="B16" s="34"/>
      <c r="C16" s="35"/>
      <c r="F16" s="26" t="s">
        <v>129</v>
      </c>
      <c r="G16" s="27"/>
      <c r="H16" s="27"/>
      <c r="I16" s="28"/>
      <c r="J16" s="29" t="b">
        <v>1</v>
      </c>
    </row>
    <row r="17">
      <c r="A17" s="33" t="s">
        <v>130</v>
      </c>
      <c r="B17" s="34" t="s">
        <v>131</v>
      </c>
      <c r="C17" s="35" t="s">
        <v>132</v>
      </c>
      <c r="F17" s="26" t="s">
        <v>133</v>
      </c>
      <c r="G17" s="27"/>
      <c r="H17" s="27"/>
      <c r="I17" s="28"/>
      <c r="J17" s="29" t="b">
        <v>1</v>
      </c>
    </row>
    <row r="18">
      <c r="A18" s="33" t="s">
        <v>134</v>
      </c>
      <c r="B18" s="34" t="s">
        <v>131</v>
      </c>
      <c r="C18" s="36"/>
      <c r="F18" s="26" t="s">
        <v>135</v>
      </c>
      <c r="G18" s="27"/>
      <c r="H18" s="27"/>
      <c r="I18" s="28"/>
      <c r="J18" s="29" t="b">
        <v>1</v>
      </c>
    </row>
    <row r="19">
      <c r="A19" s="33" t="s">
        <v>136</v>
      </c>
      <c r="B19" s="34" t="s">
        <v>131</v>
      </c>
      <c r="C19" s="36"/>
      <c r="F19" s="26" t="s">
        <v>137</v>
      </c>
      <c r="G19" s="27"/>
      <c r="H19" s="27"/>
      <c r="I19" s="28"/>
      <c r="J19" s="29" t="b">
        <v>1</v>
      </c>
    </row>
    <row r="20">
      <c r="A20" s="33" t="s">
        <v>138</v>
      </c>
      <c r="B20" s="34" t="s">
        <v>131</v>
      </c>
      <c r="C20" s="36"/>
      <c r="F20" s="26" t="s">
        <v>139</v>
      </c>
      <c r="G20" s="27"/>
      <c r="H20" s="27"/>
      <c r="I20" s="28"/>
      <c r="J20" s="29" t="b">
        <v>1</v>
      </c>
    </row>
    <row r="21">
      <c r="A21" s="33" t="s">
        <v>140</v>
      </c>
      <c r="B21" s="34" t="s">
        <v>131</v>
      </c>
      <c r="C21" s="36"/>
      <c r="F21" s="26" t="s">
        <v>141</v>
      </c>
      <c r="G21" s="27"/>
      <c r="H21" s="27"/>
      <c r="I21" s="28"/>
      <c r="J21" s="29" t="b">
        <v>1</v>
      </c>
    </row>
    <row r="22">
      <c r="A22" s="33" t="s">
        <v>142</v>
      </c>
      <c r="B22" s="34" t="s">
        <v>131</v>
      </c>
      <c r="C22" s="36"/>
      <c r="F22" s="26" t="s">
        <v>143</v>
      </c>
      <c r="G22" s="27"/>
      <c r="H22" s="27"/>
      <c r="I22" s="28"/>
      <c r="J22" s="29" t="b">
        <v>1</v>
      </c>
    </row>
    <row r="23">
      <c r="A23" s="33" t="s">
        <v>144</v>
      </c>
      <c r="B23" s="34" t="s">
        <v>131</v>
      </c>
      <c r="C23" s="36"/>
      <c r="F23" s="26" t="s">
        <v>145</v>
      </c>
      <c r="G23" s="27"/>
      <c r="H23" s="27"/>
      <c r="I23" s="28"/>
      <c r="J23" s="29" t="b">
        <v>1</v>
      </c>
    </row>
    <row r="24">
      <c r="A24" s="33" t="s">
        <v>146</v>
      </c>
      <c r="B24" s="34" t="s">
        <v>131</v>
      </c>
      <c r="C24" s="36"/>
      <c r="F24" s="26" t="s">
        <v>147</v>
      </c>
      <c r="G24" s="27"/>
      <c r="H24" s="27"/>
      <c r="I24" s="28"/>
      <c r="J24" s="29" t="b">
        <v>1</v>
      </c>
    </row>
    <row r="25">
      <c r="A25" s="37" t="s">
        <v>148</v>
      </c>
      <c r="B25" s="38" t="s">
        <v>131</v>
      </c>
      <c r="C25" s="39"/>
      <c r="F25" s="40" t="s">
        <v>149</v>
      </c>
      <c r="G25" s="41"/>
      <c r="H25" s="41"/>
      <c r="I25" s="42"/>
      <c r="J25" s="15" t="b">
        <v>1</v>
      </c>
    </row>
    <row r="26">
      <c r="A26" s="43"/>
      <c r="B26" s="44"/>
      <c r="C26" s="43"/>
    </row>
    <row r="28" ht="50.25" customHeight="1">
      <c r="A28" s="45" t="s">
        <v>150</v>
      </c>
      <c r="B28" s="27"/>
      <c r="C28" s="28"/>
      <c r="F28" s="46" t="s">
        <v>151</v>
      </c>
      <c r="G28" s="47"/>
      <c r="H28" s="47"/>
      <c r="I28" s="47"/>
      <c r="J28" s="47"/>
      <c r="K28" s="47"/>
      <c r="L28" s="47"/>
      <c r="M28" s="48"/>
    </row>
    <row r="29" ht="23.25" customHeight="1">
      <c r="A29" s="49" t="s">
        <v>152</v>
      </c>
      <c r="B29" s="50">
        <f>COUNTA($B$2:$L$9,$M$9)</f>
        <v>89</v>
      </c>
      <c r="C29" s="51" t="s">
        <v>153</v>
      </c>
      <c r="F29" s="52"/>
      <c r="G29" s="53"/>
      <c r="H29" s="53"/>
      <c r="I29" s="53"/>
      <c r="J29" s="53"/>
      <c r="K29" s="53"/>
      <c r="L29" s="53"/>
      <c r="M29" s="54"/>
    </row>
    <row r="30">
      <c r="A30" s="49" t="s">
        <v>154</v>
      </c>
      <c r="B30" s="55">
        <v>1.2</v>
      </c>
      <c r="C30" s="51" t="s">
        <v>155</v>
      </c>
      <c r="F30" s="56"/>
      <c r="M30" s="57"/>
    </row>
    <row r="31">
      <c r="A31" s="58"/>
      <c r="B31" s="58"/>
      <c r="C31" s="59"/>
      <c r="F31" s="56"/>
      <c r="M31" s="57"/>
    </row>
    <row r="32">
      <c r="A32" s="60" t="s">
        <v>156</v>
      </c>
      <c r="B32" s="22"/>
      <c r="C32" s="23"/>
      <c r="F32" s="56"/>
      <c r="M32" s="57"/>
    </row>
    <row r="33">
      <c r="A33" s="61" t="s">
        <v>157</v>
      </c>
      <c r="B33" s="62" t="s">
        <v>158</v>
      </c>
      <c r="C33" s="63" t="s">
        <v>159</v>
      </c>
      <c r="D33" s="64" t="s">
        <v>160</v>
      </c>
      <c r="F33" s="56"/>
      <c r="M33" s="57"/>
    </row>
    <row r="34">
      <c r="A34" s="65" t="s">
        <v>161</v>
      </c>
      <c r="B34" s="66">
        <v>60.0</v>
      </c>
      <c r="C34" s="67">
        <f t="shared" ref="C34:C37" si="1">B34*$B$29*$B$30</f>
        <v>6408</v>
      </c>
      <c r="D34" s="68" t="b">
        <v>1</v>
      </c>
      <c r="F34" s="56"/>
      <c r="M34" s="57"/>
    </row>
    <row r="35">
      <c r="A35" s="65" t="s">
        <v>140</v>
      </c>
      <c r="B35" s="66">
        <v>1.0</v>
      </c>
      <c r="C35" s="67">
        <f t="shared" si="1"/>
        <v>106.8</v>
      </c>
      <c r="D35" s="68" t="b">
        <v>1</v>
      </c>
      <c r="F35" s="56"/>
      <c r="M35" s="57"/>
    </row>
    <row r="36">
      <c r="A36" s="65" t="s">
        <v>162</v>
      </c>
      <c r="B36" s="66">
        <v>70.0</v>
      </c>
      <c r="C36" s="67">
        <f t="shared" si="1"/>
        <v>7476</v>
      </c>
      <c r="D36" s="68" t="b">
        <v>1</v>
      </c>
      <c r="F36" s="56"/>
      <c r="M36" s="57"/>
    </row>
    <row r="37">
      <c r="A37" s="69" t="s">
        <v>163</v>
      </c>
      <c r="B37" s="70">
        <f>sum(B34:B36)</f>
        <v>131</v>
      </c>
      <c r="C37" s="67">
        <f t="shared" si="1"/>
        <v>13990.8</v>
      </c>
      <c r="F37" s="56"/>
      <c r="M37" s="57"/>
    </row>
    <row r="38">
      <c r="A38" s="71" t="s">
        <v>164</v>
      </c>
      <c r="B38" s="44">
        <v>8.0</v>
      </c>
      <c r="C38" s="72">
        <f>C37/B38</f>
        <v>1748.85</v>
      </c>
      <c r="F38" s="56"/>
      <c r="M38" s="57"/>
    </row>
    <row r="39">
      <c r="A39" s="73"/>
      <c r="B39" s="43"/>
      <c r="C39" s="72"/>
      <c r="F39" s="56"/>
      <c r="M39" s="57"/>
    </row>
    <row r="40">
      <c r="A40" s="74" t="s">
        <v>165</v>
      </c>
      <c r="B40" s="75" t="s">
        <v>158</v>
      </c>
      <c r="C40" s="76" t="s">
        <v>159</v>
      </c>
      <c r="F40" s="56"/>
      <c r="M40" s="57"/>
    </row>
    <row r="41">
      <c r="A41" s="77" t="s">
        <v>166</v>
      </c>
      <c r="B41" s="78">
        <v>5.0</v>
      </c>
      <c r="C41" s="67">
        <f t="shared" ref="C41:C43" si="2">B41*$B$29*$B$30</f>
        <v>534</v>
      </c>
      <c r="D41" s="68" t="b">
        <v>1</v>
      </c>
      <c r="F41" s="56"/>
      <c r="M41" s="57"/>
    </row>
    <row r="42">
      <c r="A42" s="77" t="s">
        <v>167</v>
      </c>
      <c r="B42" s="78">
        <v>5.0</v>
      </c>
      <c r="C42" s="67">
        <f t="shared" si="2"/>
        <v>534</v>
      </c>
      <c r="D42" s="68" t="b">
        <v>1</v>
      </c>
      <c r="F42" s="56"/>
      <c r="M42" s="57"/>
    </row>
    <row r="43">
      <c r="A43" s="79" t="s">
        <v>163</v>
      </c>
      <c r="B43" s="80">
        <f>sum(B41:B42)</f>
        <v>10</v>
      </c>
      <c r="C43" s="67">
        <f t="shared" si="2"/>
        <v>1068</v>
      </c>
      <c r="D43" s="68" t="b">
        <v>1</v>
      </c>
      <c r="F43" s="56"/>
      <c r="M43" s="57"/>
    </row>
    <row r="44">
      <c r="A44" s="81" t="s">
        <v>164</v>
      </c>
      <c r="B44" s="82">
        <v>8.0</v>
      </c>
      <c r="C44" s="83">
        <f>C43/B44</f>
        <v>133.5</v>
      </c>
      <c r="F44" s="56"/>
      <c r="M44" s="57"/>
    </row>
    <row r="45">
      <c r="F45" s="84" t="s">
        <v>168</v>
      </c>
      <c r="G45" s="85"/>
      <c r="H45" s="85"/>
      <c r="I45" s="85"/>
      <c r="J45" s="85"/>
      <c r="K45" s="85"/>
      <c r="L45" s="85"/>
      <c r="M45" s="86"/>
    </row>
    <row r="46">
      <c r="A46" s="87" t="s">
        <v>169</v>
      </c>
      <c r="B46" s="87" t="s">
        <v>170</v>
      </c>
      <c r="C46" s="87" t="s">
        <v>171</v>
      </c>
    </row>
    <row r="47">
      <c r="A47" s="88" t="s">
        <v>172</v>
      </c>
      <c r="B47" s="89">
        <v>200.0</v>
      </c>
      <c r="C47" s="90">
        <f>2*B47*$B$29*$B$30</f>
        <v>42720</v>
      </c>
      <c r="D47" s="68" t="b">
        <v>1</v>
      </c>
    </row>
    <row r="48">
      <c r="A48" s="88" t="s">
        <v>146</v>
      </c>
      <c r="B48" s="89">
        <v>200.0</v>
      </c>
      <c r="C48" s="90">
        <f t="shared" ref="C48:C49" si="3">B48*$B$29*$B$30</f>
        <v>21360</v>
      </c>
      <c r="D48" s="68" t="b">
        <v>1</v>
      </c>
    </row>
    <row r="49">
      <c r="A49" s="91" t="s">
        <v>173</v>
      </c>
      <c r="B49" s="90">
        <v>50.0</v>
      </c>
      <c r="C49" s="90">
        <f t="shared" si="3"/>
        <v>5340</v>
      </c>
      <c r="D49" s="68" t="b">
        <v>1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92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93" t="s">
        <v>38</v>
      </c>
    </row>
    <row r="4">
      <c r="A4" s="9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94" t="s">
        <v>51</v>
      </c>
    </row>
    <row r="5">
      <c r="A5" s="9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92" t="s">
        <v>64</v>
      </c>
    </row>
    <row r="6">
      <c r="A6" s="9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73</v>
      </c>
      <c r="J6" s="10" t="s">
        <v>74</v>
      </c>
      <c r="K6" s="10" t="s">
        <v>75</v>
      </c>
      <c r="L6" s="10" t="s">
        <v>76</v>
      </c>
      <c r="M6" s="93" t="s">
        <v>77</v>
      </c>
    </row>
    <row r="7">
      <c r="A7" s="9" t="s">
        <v>78</v>
      </c>
      <c r="B7" s="10" t="s">
        <v>79</v>
      </c>
      <c r="C7" s="10" t="s">
        <v>80</v>
      </c>
      <c r="D7" s="10" t="s">
        <v>81</v>
      </c>
      <c r="E7" s="10" t="s">
        <v>82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88</v>
      </c>
      <c r="L7" s="10" t="s">
        <v>89</v>
      </c>
      <c r="M7" s="94" t="s">
        <v>90</v>
      </c>
    </row>
    <row r="8">
      <c r="A8" s="9" t="s">
        <v>91</v>
      </c>
      <c r="B8" s="10" t="s">
        <v>92</v>
      </c>
      <c r="C8" s="10" t="s">
        <v>93</v>
      </c>
      <c r="D8" s="10" t="s">
        <v>94</v>
      </c>
      <c r="E8" s="10" t="s">
        <v>95</v>
      </c>
      <c r="F8" s="10" t="s">
        <v>96</v>
      </c>
      <c r="G8" s="10" t="s">
        <v>97</v>
      </c>
      <c r="H8" s="10" t="s">
        <v>98</v>
      </c>
      <c r="I8" s="10" t="s">
        <v>99</v>
      </c>
      <c r="J8" s="10" t="s">
        <v>100</v>
      </c>
      <c r="K8" s="10" t="s">
        <v>101</v>
      </c>
      <c r="L8" s="10" t="s">
        <v>102</v>
      </c>
      <c r="M8" s="10" t="s">
        <v>103</v>
      </c>
    </row>
    <row r="9">
      <c r="A9" s="13" t="s">
        <v>104</v>
      </c>
      <c r="B9" s="14" t="s">
        <v>105</v>
      </c>
      <c r="C9" s="14" t="s">
        <v>106</v>
      </c>
      <c r="D9" s="14" t="s">
        <v>107</v>
      </c>
      <c r="E9" s="14" t="s">
        <v>108</v>
      </c>
      <c r="F9" s="14" t="s">
        <v>109</v>
      </c>
      <c r="G9" s="14" t="s">
        <v>110</v>
      </c>
      <c r="H9" s="14" t="s">
        <v>111</v>
      </c>
      <c r="I9" s="14" t="s">
        <v>112</v>
      </c>
      <c r="J9" s="14" t="s">
        <v>113</v>
      </c>
      <c r="K9" s="14" t="s">
        <v>114</v>
      </c>
      <c r="L9" s="14" t="s">
        <v>115</v>
      </c>
      <c r="M9" s="15" t="s">
        <v>116</v>
      </c>
    </row>
    <row r="11">
      <c r="A11" s="18" t="s">
        <v>119</v>
      </c>
      <c r="B11" s="19"/>
      <c r="C11" s="20" t="s">
        <v>174</v>
      </c>
    </row>
    <row r="13">
      <c r="E13" s="16" t="s">
        <v>117</v>
      </c>
      <c r="G13" s="17" t="s">
        <v>175</v>
      </c>
    </row>
    <row r="14">
      <c r="A14" s="95" t="s">
        <v>123</v>
      </c>
      <c r="B14" s="22"/>
      <c r="C14" s="23"/>
      <c r="E14" s="95" t="s">
        <v>121</v>
      </c>
      <c r="F14" s="22"/>
      <c r="G14" s="22"/>
      <c r="H14" s="22"/>
      <c r="I14" s="23"/>
    </row>
    <row r="15">
      <c r="A15" s="30" t="s">
        <v>125</v>
      </c>
      <c r="B15" s="31" t="s">
        <v>126</v>
      </c>
      <c r="C15" s="32" t="s">
        <v>127</v>
      </c>
      <c r="E15" s="96" t="s">
        <v>176</v>
      </c>
      <c r="F15" s="27"/>
      <c r="G15" s="27"/>
      <c r="H15" s="28"/>
      <c r="I15" s="97" t="b">
        <v>1</v>
      </c>
    </row>
    <row r="16">
      <c r="A16" s="98" t="s">
        <v>177</v>
      </c>
      <c r="B16" s="34" t="s">
        <v>131</v>
      </c>
      <c r="C16" s="99" t="s">
        <v>132</v>
      </c>
      <c r="E16" s="96" t="s">
        <v>178</v>
      </c>
      <c r="F16" s="27"/>
      <c r="G16" s="27"/>
      <c r="H16" s="28"/>
      <c r="I16" s="97" t="b">
        <v>1</v>
      </c>
    </row>
    <row r="17">
      <c r="A17" s="98" t="s">
        <v>179</v>
      </c>
      <c r="B17" s="34" t="s">
        <v>131</v>
      </c>
      <c r="C17" s="99" t="s">
        <v>180</v>
      </c>
      <c r="E17" s="96" t="s">
        <v>181</v>
      </c>
      <c r="F17" s="27"/>
      <c r="G17" s="27"/>
      <c r="H17" s="28"/>
      <c r="I17" s="97" t="b">
        <v>1</v>
      </c>
    </row>
    <row r="18">
      <c r="A18" s="98" t="s">
        <v>182</v>
      </c>
      <c r="B18" s="34" t="s">
        <v>131</v>
      </c>
      <c r="C18" s="99" t="s">
        <v>132</v>
      </c>
      <c r="E18" s="96" t="s">
        <v>183</v>
      </c>
      <c r="F18" s="27"/>
      <c r="G18" s="27"/>
      <c r="H18" s="28"/>
      <c r="I18" s="97" t="b">
        <v>1</v>
      </c>
    </row>
    <row r="19">
      <c r="A19" s="37" t="s">
        <v>184</v>
      </c>
      <c r="B19" s="38" t="s">
        <v>131</v>
      </c>
      <c r="C19" s="100" t="s">
        <v>185</v>
      </c>
      <c r="E19" s="96" t="s">
        <v>186</v>
      </c>
      <c r="F19" s="27"/>
      <c r="G19" s="27"/>
      <c r="H19" s="28"/>
      <c r="I19" s="97" t="b">
        <v>1</v>
      </c>
    </row>
    <row r="20">
      <c r="A20" s="43"/>
      <c r="B20" s="43"/>
      <c r="C20" s="43"/>
      <c r="E20" s="96" t="s">
        <v>187</v>
      </c>
      <c r="F20" s="27"/>
      <c r="G20" s="27"/>
      <c r="H20" s="28"/>
      <c r="I20" s="101" t="b">
        <v>1</v>
      </c>
    </row>
    <row r="21">
      <c r="A21" s="43"/>
      <c r="B21" s="43"/>
      <c r="C21" s="43"/>
      <c r="E21" s="102"/>
    </row>
    <row r="22">
      <c r="A22" s="103" t="s">
        <v>150</v>
      </c>
      <c r="B22" s="27"/>
      <c r="C22" s="28"/>
      <c r="E22" s="46" t="s">
        <v>151</v>
      </c>
      <c r="F22" s="47"/>
      <c r="G22" s="47"/>
      <c r="H22" s="47"/>
      <c r="I22" s="47"/>
      <c r="J22" s="47"/>
      <c r="K22" s="47"/>
      <c r="L22" s="48"/>
    </row>
    <row r="23" ht="42.75" customHeight="1">
      <c r="A23" s="49" t="s">
        <v>152</v>
      </c>
      <c r="B23" s="50">
        <f>COUNTA($B$2:$M$9)</f>
        <v>96</v>
      </c>
      <c r="C23" s="51" t="s">
        <v>188</v>
      </c>
      <c r="E23" s="52"/>
      <c r="F23" s="53"/>
      <c r="G23" s="53"/>
      <c r="H23" s="53"/>
      <c r="I23" s="53"/>
      <c r="J23" s="53"/>
      <c r="K23" s="53"/>
      <c r="L23" s="54"/>
    </row>
    <row r="24" ht="59.25" customHeight="1">
      <c r="A24" s="49" t="s">
        <v>154</v>
      </c>
      <c r="B24" s="55">
        <v>1.2</v>
      </c>
      <c r="C24" s="51" t="s">
        <v>155</v>
      </c>
      <c r="E24" s="56"/>
      <c r="L24" s="57"/>
    </row>
    <row r="25">
      <c r="E25" s="56"/>
      <c r="L25" s="57"/>
    </row>
    <row r="26">
      <c r="E26" s="56"/>
      <c r="L26" s="57"/>
    </row>
    <row r="27">
      <c r="A27" s="104" t="s">
        <v>156</v>
      </c>
      <c r="B27" s="22"/>
      <c r="C27" s="23"/>
      <c r="E27" s="56"/>
      <c r="L27" s="57"/>
    </row>
    <row r="28">
      <c r="A28" s="61" t="s">
        <v>189</v>
      </c>
      <c r="B28" s="62" t="s">
        <v>158</v>
      </c>
      <c r="C28" s="63" t="s">
        <v>159</v>
      </c>
      <c r="E28" s="56"/>
      <c r="L28" s="57"/>
    </row>
    <row r="29">
      <c r="A29" s="105" t="s">
        <v>179</v>
      </c>
      <c r="B29" s="106">
        <v>10.0</v>
      </c>
      <c r="C29" s="67">
        <f t="shared" ref="C29:C31" si="1">B29*$B$23*$B$24</f>
        <v>1152</v>
      </c>
      <c r="E29" s="56"/>
      <c r="L29" s="57"/>
    </row>
    <row r="30">
      <c r="A30" s="105" t="s">
        <v>190</v>
      </c>
      <c r="B30" s="106">
        <v>4.0</v>
      </c>
      <c r="C30" s="67">
        <f t="shared" si="1"/>
        <v>460.8</v>
      </c>
      <c r="E30" s="56"/>
      <c r="L30" s="57"/>
    </row>
    <row r="31">
      <c r="A31" s="105" t="s">
        <v>191</v>
      </c>
      <c r="B31" s="106">
        <v>1.0</v>
      </c>
      <c r="C31" s="67">
        <f t="shared" si="1"/>
        <v>115.2</v>
      </c>
      <c r="E31" s="56"/>
      <c r="L31" s="57"/>
    </row>
    <row r="32">
      <c r="A32" s="69" t="s">
        <v>163</v>
      </c>
      <c r="B32" s="107">
        <f t="shared" ref="B32:C32" si="2">sum(B29:B31)</f>
        <v>15</v>
      </c>
      <c r="C32" s="67">
        <f t="shared" si="2"/>
        <v>1728</v>
      </c>
      <c r="E32" s="56"/>
      <c r="L32" s="57"/>
    </row>
    <row r="33">
      <c r="A33" s="81" t="s">
        <v>164</v>
      </c>
      <c r="B33" s="82">
        <v>8.0</v>
      </c>
      <c r="C33" s="83">
        <f>C32/B33</f>
        <v>216</v>
      </c>
      <c r="E33" s="56"/>
      <c r="L33" s="57"/>
    </row>
    <row r="34">
      <c r="E34" s="56"/>
      <c r="L34" s="57"/>
    </row>
    <row r="35">
      <c r="E35" s="56"/>
      <c r="L35" s="57"/>
    </row>
    <row r="36">
      <c r="E36" s="56"/>
      <c r="L36" s="57"/>
    </row>
    <row r="37">
      <c r="E37" s="56"/>
      <c r="L37" s="57"/>
    </row>
    <row r="38">
      <c r="E38" s="56"/>
      <c r="L38" s="57"/>
    </row>
    <row r="39">
      <c r="A39" s="43"/>
      <c r="B39" s="43"/>
      <c r="C39" s="43"/>
      <c r="E39" s="84" t="s">
        <v>168</v>
      </c>
      <c r="F39" s="85"/>
      <c r="G39" s="85"/>
      <c r="H39" s="85"/>
      <c r="I39" s="85"/>
      <c r="J39" s="85"/>
      <c r="K39" s="85"/>
      <c r="L39" s="86"/>
    </row>
    <row r="40">
      <c r="A40" s="43"/>
      <c r="B40" s="43"/>
      <c r="C40" s="43"/>
    </row>
    <row r="41">
      <c r="A41" s="108"/>
      <c r="B41" s="109"/>
      <c r="C41" s="108"/>
    </row>
    <row r="42">
      <c r="A42" s="110"/>
      <c r="B42" s="111"/>
      <c r="C42" s="112"/>
    </row>
    <row r="43">
      <c r="A43" s="110"/>
      <c r="B43" s="111"/>
      <c r="C43" s="112"/>
    </row>
    <row r="44">
      <c r="A44" s="109"/>
      <c r="B44" s="108"/>
      <c r="C44" s="112"/>
    </row>
    <row r="45">
      <c r="A45" s="43"/>
      <c r="B45" s="43"/>
      <c r="C45" s="43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
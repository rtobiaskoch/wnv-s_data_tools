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</sheets>
  <definedNames/>
  <calcPr/>
</workbook>
</file>

<file path=xl/sharedStrings.xml><?xml version="1.0" encoding="utf-8"?>
<sst xmlns="http://schemas.openxmlformats.org/spreadsheetml/2006/main" count="342" uniqueCount="287">
  <si>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</si>
  <si>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</si>
  <si>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</si>
  <si>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</si>
  <si>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</si>
  <si>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</si>
  <si>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24, week 28 plate 2: </t>
    </r>
    <r>
      <rPr>
        <rFont val="Arial"/>
        <b/>
        <i/>
        <color theme="1"/>
        <sz val="16.0"/>
      </rPr>
      <t>SS_y24_w28_p2_rna_extract_and_pcr_notebook</t>
    </r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</si>
  <si>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</si>
  <si>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</si>
  <si>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</si>
  <si>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</si>
  <si>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</si>
  <si>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</si>
  <si>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</si>
  <si>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CSU22571</t>
  </si>
  <si>
    <t>CSU22579</t>
  </si>
  <si>
    <t>CSU22587</t>
  </si>
  <si>
    <t>CSU22595</t>
  </si>
  <si>
    <t>CSU22603</t>
  </si>
  <si>
    <t>CSU22611</t>
  </si>
  <si>
    <t>CSU22619</t>
  </si>
  <si>
    <t>CSU22627</t>
  </si>
  <si>
    <t>CSU22635</t>
  </si>
  <si>
    <t>CSU22643</t>
  </si>
  <si>
    <t>CSU22651</t>
  </si>
  <si>
    <t>wnv_std_1e6</t>
  </si>
  <si>
    <t>B</t>
  </si>
  <si>
    <t>CSU22572</t>
  </si>
  <si>
    <t>CSU22580</t>
  </si>
  <si>
    <t>CSU22588</t>
  </si>
  <si>
    <t>CSU22596</t>
  </si>
  <si>
    <t>CSU22604</t>
  </si>
  <si>
    <t>CSU22612</t>
  </si>
  <si>
    <t>CSU22620</t>
  </si>
  <si>
    <t>CSU22628</t>
  </si>
  <si>
    <t>CSU22636</t>
  </si>
  <si>
    <t>CSU22644</t>
  </si>
  <si>
    <t>CSU22652</t>
  </si>
  <si>
    <t>wnv_std_1e4</t>
  </si>
  <si>
    <t>C</t>
  </si>
  <si>
    <t>CSU22573</t>
  </si>
  <si>
    <t>CSU22581</t>
  </si>
  <si>
    <t>CSU22589</t>
  </si>
  <si>
    <t>CSU22597</t>
  </si>
  <si>
    <t>CSU22605</t>
  </si>
  <si>
    <t>CSU22613</t>
  </si>
  <si>
    <t>CSU22621</t>
  </si>
  <si>
    <t>CSU22629</t>
  </si>
  <si>
    <t>CSU22637</t>
  </si>
  <si>
    <t>CSU22645</t>
  </si>
  <si>
    <t>CSU22653</t>
  </si>
  <si>
    <t>wnv_std_1e2</t>
  </si>
  <si>
    <t>D</t>
  </si>
  <si>
    <t>CSU22574</t>
  </si>
  <si>
    <t>CSU22582</t>
  </si>
  <si>
    <t>CSU22590</t>
  </si>
  <si>
    <t>CSU22598</t>
  </si>
  <si>
    <t>CSU22606</t>
  </si>
  <si>
    <t>CSU22614</t>
  </si>
  <si>
    <t>CSU22622</t>
  </si>
  <si>
    <t>CSU22630</t>
  </si>
  <si>
    <t>CSU22638</t>
  </si>
  <si>
    <t>CSU22646</t>
  </si>
  <si>
    <t>CSU22654</t>
  </si>
  <si>
    <t>slev_std_1e6</t>
  </si>
  <si>
    <t>E</t>
  </si>
  <si>
    <t>CSU22575</t>
  </si>
  <si>
    <t>CSU22583</t>
  </si>
  <si>
    <t>CSU22591</t>
  </si>
  <si>
    <t>CSU22599</t>
  </si>
  <si>
    <t>CSU22607</t>
  </si>
  <si>
    <t>CSU22615</t>
  </si>
  <si>
    <t>CSU22623</t>
  </si>
  <si>
    <t>CSU22631</t>
  </si>
  <si>
    <t>CSU22639</t>
  </si>
  <si>
    <t>CSU22647</t>
  </si>
  <si>
    <t>CSU22655</t>
  </si>
  <si>
    <t>slev_std_1e4</t>
  </si>
  <si>
    <t>F</t>
  </si>
  <si>
    <t>CSU22576</t>
  </si>
  <si>
    <t>CSU22584</t>
  </si>
  <si>
    <t>CSU22592</t>
  </si>
  <si>
    <t>CSU22600</t>
  </si>
  <si>
    <t>CSU22608</t>
  </si>
  <si>
    <t>CSU22616</t>
  </si>
  <si>
    <t>CSU22624</t>
  </si>
  <si>
    <t>CSU22632</t>
  </si>
  <si>
    <t>CSU22640</t>
  </si>
  <si>
    <t>CSU22648</t>
  </si>
  <si>
    <t>CSU22656</t>
  </si>
  <si>
    <t>slev_std_1e2</t>
  </si>
  <si>
    <t>G</t>
  </si>
  <si>
    <t>CSU22577</t>
  </si>
  <si>
    <t>CSU22585</t>
  </si>
  <si>
    <t>CSU22593</t>
  </si>
  <si>
    <t>CSU22601</t>
  </si>
  <si>
    <t>CSU22609</t>
  </si>
  <si>
    <t>CSU22617</t>
  </si>
  <si>
    <t>CSU22625</t>
  </si>
  <si>
    <t>CSU22633</t>
  </si>
  <si>
    <t>CSU22641</t>
  </si>
  <si>
    <t>CSU22649</t>
  </si>
  <si>
    <t>CSU22657</t>
  </si>
  <si>
    <t>neg pcr ctrl</t>
  </si>
  <si>
    <t>H</t>
  </si>
  <si>
    <t>CSU22578</t>
  </si>
  <si>
    <t>CSU22586</t>
  </si>
  <si>
    <t>CSU22594</t>
  </si>
  <si>
    <t>CSU22602</t>
  </si>
  <si>
    <t>CSU22610</t>
  </si>
  <si>
    <t>CSU22618</t>
  </si>
  <si>
    <t>CSU22626</t>
  </si>
  <si>
    <t>CSU22634</t>
  </si>
  <si>
    <t>CSU22642</t>
  </si>
  <si>
    <t>CSU22650</t>
  </si>
  <si>
    <t>CSU22658</t>
  </si>
  <si>
    <t xml:space="preserve"> neg extract ctl</t>
  </si>
  <si>
    <t>full protocol here -----------------------&gt;</t>
  </si>
  <si>
    <t>SS - RNA extraction</t>
  </si>
  <si>
    <t>YOUR NAME</t>
  </si>
  <si>
    <t>Catalina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</si>
  <si>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</si>
  <si>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</si>
  <si>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</si>
  <si>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</si>
  <si>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</si>
  <si>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Group</t>
  </si>
  <si>
    <t>Lot/ID</t>
  </si>
  <si>
    <t>ethanol added to VHB  (check mark on bottle)</t>
  </si>
  <si>
    <t>positve and negative extraction controls added</t>
  </si>
  <si>
    <t>Kingfisher</t>
  </si>
  <si>
    <t>FoCo</t>
  </si>
  <si>
    <t>NA</t>
  </si>
  <si>
    <t>pipettes changed between samples</t>
  </si>
  <si>
    <t>TNA Lysis Buffer</t>
  </si>
  <si>
    <t>34905ge140</t>
  </si>
  <si>
    <t>beads at room temp</t>
  </si>
  <si>
    <t>Isopropanol</t>
  </si>
  <si>
    <t>beads vortexed</t>
  </si>
  <si>
    <t>Proteanase K</t>
  </si>
  <si>
    <t>57571en53</t>
  </si>
  <si>
    <t>beads and proteanase K thoroughly mixed prior to dispensing</t>
  </si>
  <si>
    <t>linear acrylamide</t>
  </si>
  <si>
    <t>maintenance plate run done prior to sample run</t>
  </si>
  <si>
    <t>magbind beads</t>
  </si>
  <si>
    <t>52526cy127</t>
  </si>
  <si>
    <t>A1 of sample plate oriented to A1 in machine</t>
  </si>
  <si>
    <t>SPR</t>
  </si>
  <si>
    <t>32990fw58</t>
  </si>
  <si>
    <t>Return tip plate to top of robot</t>
  </si>
  <si>
    <t>VHB</t>
  </si>
  <si>
    <t>36814gg167</t>
  </si>
  <si>
    <t>VHB, SPR and SAMPLE Plates liquid in sink plates in gargabe</t>
  </si>
  <si>
    <t>dfh20</t>
  </si>
  <si>
    <t>54299dy80</t>
  </si>
  <si>
    <t>Elution plate sealed with microseal B and in freezer/fridge or immediately processed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</si>
  <si>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</si>
  <si>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</si>
  <si>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</si>
  <si>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</si>
  <si>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</si>
  <si>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</si>
  <si>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12A has pos cntrl, 11H has sample CSU22658. Sample CSU22658 will be moved to well ___ on plate 2 for pcr, and well 11H on pcr plate 1 will be the rna ext pos control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</si>
  <si>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</si>
  <si>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</si>
  <si>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</si>
  <si>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</si>
  <si>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</si>
  <si>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</si>
  <si>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</si>
  <si>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</si>
  <si>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</si>
  <si>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</si>
  <si>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</si>
  <si>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</si>
  <si>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</si>
  <si>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</si>
  <si>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</si>
  <si>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</si>
  <si>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</si>
  <si>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</si>
  <si>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CSU-22571</t>
  </si>
  <si>
    <t>CSU-22579</t>
  </si>
  <si>
    <t>CSU-22587</t>
  </si>
  <si>
    <t>CSU-22595</t>
  </si>
  <si>
    <t>CSU-22603</t>
  </si>
  <si>
    <t>CSU-22611</t>
  </si>
  <si>
    <t>CSU-22619</t>
  </si>
  <si>
    <t>CSU-22627</t>
  </si>
  <si>
    <t>CSU-22635</t>
  </si>
  <si>
    <t>CSU-22643</t>
  </si>
  <si>
    <t>CSU-22651</t>
  </si>
  <si>
    <t>CSU-22572</t>
  </si>
  <si>
    <t>CSU-22580</t>
  </si>
  <si>
    <t>CSU-22588</t>
  </si>
  <si>
    <t>CSU-22596</t>
  </si>
  <si>
    <t>CSU-22604</t>
  </si>
  <si>
    <t>CSU-22612</t>
  </si>
  <si>
    <t>CSU-22620</t>
  </si>
  <si>
    <t>CSU-22628</t>
  </si>
  <si>
    <t>CSU-22636</t>
  </si>
  <si>
    <t>CSU-22644</t>
  </si>
  <si>
    <t>CSU-22652</t>
  </si>
  <si>
    <t>CSU-22573</t>
  </si>
  <si>
    <t>CSU-22581</t>
  </si>
  <si>
    <t>CSU-22589</t>
  </si>
  <si>
    <t>CSU-22597</t>
  </si>
  <si>
    <t>CSU-22605</t>
  </si>
  <si>
    <t>CSU-22613</t>
  </si>
  <si>
    <t>CSU-22621</t>
  </si>
  <si>
    <t>CSU-22629</t>
  </si>
  <si>
    <t>CSU-22637</t>
  </si>
  <si>
    <t>CSU-22645</t>
  </si>
  <si>
    <t>CSU-22653</t>
  </si>
  <si>
    <t>CSU-22574</t>
  </si>
  <si>
    <t>CSU-22582</t>
  </si>
  <si>
    <t>CSU-22590</t>
  </si>
  <si>
    <t>CSU-22598</t>
  </si>
  <si>
    <t>CSU-22606</t>
  </si>
  <si>
    <t>CSU-22614</t>
  </si>
  <si>
    <t>CSU-22622</t>
  </si>
  <si>
    <t>CSU-22630</t>
  </si>
  <si>
    <t>CSU-22638</t>
  </si>
  <si>
    <t>CSU-22646</t>
  </si>
  <si>
    <t>CSU-22654</t>
  </si>
  <si>
    <t>CSU-22575</t>
  </si>
  <si>
    <t>CSU-22583</t>
  </si>
  <si>
    <t>CSU-22591</t>
  </si>
  <si>
    <t>CSU-22599</t>
  </si>
  <si>
    <t>CSU-22607</t>
  </si>
  <si>
    <t>CSU-22615</t>
  </si>
  <si>
    <t>CSU-22623</t>
  </si>
  <si>
    <t>CSU-22631</t>
  </si>
  <si>
    <t>CSU-22639</t>
  </si>
  <si>
    <t>CSU-22647</t>
  </si>
  <si>
    <t>CSU-22655</t>
  </si>
  <si>
    <t>CSU-22576</t>
  </si>
  <si>
    <t>CSU-22584</t>
  </si>
  <si>
    <t>CSU-22592</t>
  </si>
  <si>
    <t>CSU-22600</t>
  </si>
  <si>
    <t>CSU-22608</t>
  </si>
  <si>
    <t>CSU-22616</t>
  </si>
  <si>
    <t>CSU-22624</t>
  </si>
  <si>
    <t>CSU-22632</t>
  </si>
  <si>
    <t>CSU-22640</t>
  </si>
  <si>
    <t>CSU-22648</t>
  </si>
  <si>
    <t>CSU-22656</t>
  </si>
  <si>
    <t>CSU-22577</t>
  </si>
  <si>
    <t>CSU-22585</t>
  </si>
  <si>
    <t>CSU-22593</t>
  </si>
  <si>
    <t>CSU-22601</t>
  </si>
  <si>
    <t>CSU-22609</t>
  </si>
  <si>
    <t>CSU-22617</t>
  </si>
  <si>
    <t>CSU-22625</t>
  </si>
  <si>
    <t>CSU-22633</t>
  </si>
  <si>
    <t>CSU-22641</t>
  </si>
  <si>
    <t>CSU-22649</t>
  </si>
  <si>
    <t>CSU-22657</t>
  </si>
  <si>
    <t>CSU-22578</t>
  </si>
  <si>
    <t>CSU-22586</t>
  </si>
  <si>
    <t>CSU-22594</t>
  </si>
  <si>
    <t>CSU-22602</t>
  </si>
  <si>
    <t>CSU-22610</t>
  </si>
  <si>
    <t>CSU-22618</t>
  </si>
  <si>
    <t>CSU-22626</t>
  </si>
  <si>
    <t>CSU-22634</t>
  </si>
  <si>
    <t>CSU-22642</t>
  </si>
  <si>
    <t>CSU-22650</t>
  </si>
  <si>
    <t>pos ext ctl</t>
  </si>
  <si>
    <t>neg extract ctl</t>
  </si>
  <si>
    <t>SS - Multiplex qRT-PCR</t>
  </si>
  <si>
    <t>changed pipettes between samples</t>
  </si>
  <si>
    <t>Quantstudio</t>
  </si>
  <si>
    <t>neg pcr control added</t>
  </si>
  <si>
    <t>Mastermix</t>
  </si>
  <si>
    <t>2588173,2881788</t>
  </si>
  <si>
    <t>standards added</t>
  </si>
  <si>
    <t>primer probe</t>
  </si>
  <si>
    <t>Reagents put back in -4 C</t>
  </si>
  <si>
    <t>RT enzyme</t>
  </si>
  <si>
    <t>2904535</t>
  </si>
  <si>
    <t>baseline threshold changed to 34000 and hit Analyze</t>
  </si>
  <si>
    <t>Export .xls file with named "SS-y##-w#-p#-pcr"</t>
  </si>
  <si>
    <t>non blank values in platemap</t>
  </si>
  <si>
    <t xml:space="preserve"> MM1 Reagent</t>
  </si>
  <si>
    <t>Primer probe</t>
  </si>
  <si>
    <t>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</si>
</sst>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999999"/>
      <name val="Arial"/>
      <scheme val="minor"/>
    </font>
    <font>
      <u/>
      <color theme="1"/>
      <name val="Arial"/>
      <scheme val="minor"/>
    </font>
    <font>
      <b/>
      <sz val="14.0"/>
      <color rgb="FF3C78D8"/>
      <name val="Arial"/>
      <scheme val="minor"/>
    </font>
    <font/>
    <font>
      <sz val="16.0"/>
      <color rgb="FF3C78D8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31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3" fontId="3" numFmtId="0" xfId="0" applyAlignment="1" applyBorder="1" applyFill="1" applyFont="1">
      <alignment readingOrder="0"/>
    </xf>
    <xf borderId="6" fillId="0" fontId="5" numFmtId="0" xfId="0" applyBorder="1" applyFont="1"/>
    <xf borderId="6" fillId="0" fontId="5" numFmtId="0" xfId="0" applyAlignment="1" applyBorder="1" applyFont="1">
      <alignment readingOrder="0"/>
    </xf>
    <xf borderId="7" fillId="2" fontId="4" numFmtId="0" xfId="0" applyAlignment="1" applyBorder="1" applyFont="1">
      <alignment readingOrder="0"/>
    </xf>
    <xf borderId="8" fillId="3" fontId="3" numFmtId="0" xfId="0" applyAlignment="1" applyBorder="1" applyFont="1">
      <alignment readingOrder="0"/>
    </xf>
    <xf borderId="9" fillId="3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  <xf borderId="10" fillId="0" fontId="7" numFmtId="0" xfId="0" applyAlignment="1" applyBorder="1" applyFont="1">
      <alignment horizontal="center" readingOrder="0"/>
    </xf>
    <xf borderId="11" fillId="0" fontId="8" numFmtId="0" xfId="0" applyBorder="1" applyFont="1"/>
    <xf borderId="11" fillId="3" fontId="3" numFmtId="0" xfId="0" applyAlignment="1" applyBorder="1" applyFont="1">
      <alignment readingOrder="0"/>
    </xf>
    <xf borderId="12" fillId="4" fontId="9" numFmtId="0" xfId="0" applyAlignment="1" applyBorder="1" applyFill="1" applyFont="1">
      <alignment horizontal="center" readingOrder="0"/>
    </xf>
    <xf borderId="13" fillId="0" fontId="8" numFmtId="0" xfId="0" applyBorder="1" applyFont="1"/>
    <xf borderId="14" fillId="0" fontId="8" numFmtId="0" xfId="0" applyBorder="1" applyFont="1"/>
    <xf borderId="4" fillId="0" fontId="3" numFmtId="0" xfId="0" applyAlignment="1" applyBorder="1" applyFont="1">
      <alignment readingOrder="0"/>
    </xf>
    <xf borderId="15" fillId="0" fontId="8" numFmtId="0" xfId="0" applyBorder="1" applyFont="1"/>
    <xf borderId="16" fillId="0" fontId="3" numFmtId="0" xfId="0" applyAlignment="1" applyBorder="1" applyFont="1">
      <alignment readingOrder="0"/>
    </xf>
    <xf borderId="17" fillId="0" fontId="8" numFmtId="0" xfId="0" applyBorder="1" applyFont="1"/>
    <xf borderId="18" fillId="0" fontId="8" numFmtId="0" xfId="0" applyBorder="1" applyFont="1"/>
    <xf borderId="6" fillId="3" fontId="3" numFmtId="0" xfId="0" applyAlignment="1" applyBorder="1" applyFont="1">
      <alignment readingOrder="0"/>
    </xf>
    <xf borderId="19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readingOrder="0" vertical="bottom"/>
    </xf>
    <xf borderId="6" fillId="0" fontId="10" numFmtId="0" xfId="0" applyAlignment="1" applyBorder="1" applyFont="1">
      <alignment vertical="bottom"/>
    </xf>
    <xf borderId="19" fillId="0" fontId="11" numFmtId="0" xfId="0" applyAlignment="1" applyBorder="1" applyFont="1">
      <alignment vertical="bottom"/>
    </xf>
    <xf borderId="5" fillId="3" fontId="11" numFmtId="0" xfId="0" applyAlignment="1" applyBorder="1" applyFont="1">
      <alignment readingOrder="0" vertical="bottom"/>
    </xf>
    <xf borderId="6" fillId="3" fontId="11" numFmtId="0" xfId="0" applyAlignment="1" applyBorder="1" applyFont="1">
      <alignment horizontal="center" readingOrder="0" vertical="bottom"/>
    </xf>
    <xf borderId="6" fillId="3" fontId="3" numFmtId="0" xfId="0" applyBorder="1" applyFont="1"/>
    <xf borderId="20" fillId="0" fontId="11" numFmtId="0" xfId="0" applyAlignment="1" applyBorder="1" applyFont="1">
      <alignment readingOrder="0" vertical="bottom"/>
    </xf>
    <xf borderId="8" fillId="3" fontId="11" numFmtId="0" xfId="0" applyAlignment="1" applyBorder="1" applyFont="1">
      <alignment readingOrder="0" vertical="bottom"/>
    </xf>
    <xf borderId="9" fillId="3" fontId="11" numFmtId="0" xfId="0" applyAlignment="1" applyBorder="1" applyFont="1">
      <alignment horizontal="center" readingOrder="0" vertical="bottom"/>
    </xf>
    <xf borderId="21" fillId="0" fontId="3" numFmtId="0" xfId="0" applyAlignment="1" applyBorder="1" applyFont="1">
      <alignment readingOrder="0"/>
    </xf>
    <xf borderId="22" fillId="0" fontId="8" numFmtId="0" xfId="0" applyBorder="1" applyFont="1"/>
    <xf borderId="23" fillId="0" fontId="8" numFmtId="0" xfId="0" applyBorder="1" applyFont="1"/>
    <xf borderId="9" fillId="3" fontId="3" numFmtId="0" xfId="0" applyBorder="1" applyFont="1"/>
    <xf borderId="0" fillId="0" fontId="11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24" fillId="4" fontId="12" numFmtId="0" xfId="0" applyAlignment="1" applyBorder="1" applyFont="1">
      <alignment horizontal="center" readingOrder="0" vertical="bottom"/>
    </xf>
    <xf borderId="1" fillId="4" fontId="9" numFmtId="0" xfId="0" applyAlignment="1" applyBorder="1" applyFont="1">
      <alignment horizontal="center" readingOrder="0"/>
    </xf>
    <xf borderId="2" fillId="0" fontId="8" numFmtId="0" xfId="0" applyBorder="1" applyFont="1"/>
    <xf borderId="3" fillId="0" fontId="8" numFmtId="0" xfId="0" applyBorder="1" applyFont="1"/>
    <xf borderId="5" fillId="0" fontId="10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shrinkToFit="0" wrapText="1"/>
    </xf>
    <xf borderId="5" fillId="0" fontId="13" numFmtId="0" xfId="0" applyAlignment="1" applyBorder="1" applyFont="1">
      <alignment readingOrder="0" shrinkToFit="0" vertical="bottom" wrapText="1"/>
    </xf>
    <xf borderId="25" fillId="0" fontId="3" numFmtId="0" xfId="0" applyBorder="1" applyFont="1"/>
    <xf borderId="26" fillId="0" fontId="8" numFmtId="0" xfId="0" applyBorder="1" applyFont="1"/>
    <xf borderId="27" fillId="0" fontId="8" numFmtId="0" xfId="0" applyBorder="1" applyFont="1"/>
    <xf borderId="5" fillId="0" fontId="11" numFmtId="0" xfId="0" applyAlignment="1" applyBorder="1" applyFont="1">
      <alignment readingOrder="0" shrinkToFit="0" vertical="bottom" wrapText="1"/>
    </xf>
    <xf borderId="28" fillId="0" fontId="8" numFmtId="0" xfId="0" applyBorder="1" applyFont="1"/>
    <xf borderId="0" fillId="0" fontId="14" numFmtId="0" xfId="0" applyAlignment="1" applyFont="1">
      <alignment horizontal="center" shrinkToFit="0" vertical="bottom" wrapText="1"/>
    </xf>
    <xf borderId="0" fillId="0" fontId="15" numFmtId="0" xfId="0" applyAlignment="1" applyFont="1">
      <alignment readingOrder="0"/>
    </xf>
    <xf borderId="4" fillId="0" fontId="3" numFmtId="0" xfId="0" applyBorder="1" applyFont="1"/>
    <xf borderId="12" fillId="4" fontId="12" numFmtId="0" xfId="0" applyAlignment="1" applyBorder="1" applyFont="1">
      <alignment horizontal="center" readingOrder="0" vertical="bottom"/>
    </xf>
    <xf borderId="19" fillId="0" fontId="14" numFmtId="0" xfId="0" applyAlignment="1" applyBorder="1" applyFont="1">
      <alignment horizontal="center" readingOrder="0" shrinkToFit="0" vertical="bottom" wrapText="1"/>
    </xf>
    <xf borderId="5" fillId="0" fontId="14" numFmtId="0" xfId="0" applyAlignment="1" applyBorder="1" applyFont="1">
      <alignment horizontal="center" shrinkToFit="0" vertical="bottom" wrapText="1"/>
    </xf>
    <xf borderId="6" fillId="0" fontId="15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19" fillId="0" fontId="16" numFmtId="0" xfId="0" applyAlignment="1" applyBorder="1" applyFont="1">
      <alignment horizontal="center" shrinkToFit="0" vertical="bottom" wrapText="1"/>
    </xf>
    <xf borderId="5" fillId="0" fontId="16" numFmtId="0" xfId="0" applyAlignment="1" applyBorder="1" applyFont="1">
      <alignment horizontal="center" readingOrder="0" shrinkToFit="0" vertical="bottom" wrapText="1"/>
    </xf>
    <xf borderId="6" fillId="0" fontId="17" numFmtId="0" xfId="0" applyBorder="1" applyFont="1"/>
    <xf borderId="0" fillId="3" fontId="3" numFmtId="0" xfId="0" applyAlignment="1" applyFont="1">
      <alignment readingOrder="0"/>
    </xf>
    <xf borderId="19" fillId="0" fontId="14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horizontal="center" readingOrder="0" shrinkToFit="0" vertical="bottom" wrapText="1"/>
    </xf>
    <xf borderId="4" fillId="0" fontId="11" numFmtId="0" xfId="0" applyAlignment="1" applyBorder="1" applyFont="1">
      <alignment readingOrder="0" vertical="bottom"/>
    </xf>
    <xf borderId="28" fillId="0" fontId="11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19" fillId="0" fontId="18" numFmtId="0" xfId="0" applyAlignment="1" applyBorder="1" applyFont="1">
      <alignment horizontal="center" readingOrder="0" shrinkToFit="0" vertical="bottom" wrapText="1"/>
    </xf>
    <xf borderId="5" fillId="0" fontId="18" numFmtId="0" xfId="0" applyAlignment="1" applyBorder="1" applyFont="1">
      <alignment horizontal="center" shrinkToFit="0" vertical="bottom" wrapText="1"/>
    </xf>
    <xf borderId="6" fillId="0" fontId="18" numFmtId="0" xfId="0" applyAlignment="1" applyBorder="1" applyFont="1">
      <alignment horizontal="center" readingOrder="0" shrinkToFit="0" vertical="bottom" wrapText="1"/>
    </xf>
    <xf borderId="19" fillId="0" fontId="19" numFmtId="0" xfId="0" applyAlignment="1" applyBorder="1" applyFont="1">
      <alignment horizontal="center" shrinkToFit="0" vertical="bottom" wrapText="1"/>
    </xf>
    <xf borderId="5" fillId="0" fontId="19" numFmtId="0" xfId="0" applyAlignment="1" applyBorder="1" applyFont="1">
      <alignment horizontal="center" readingOrder="0" shrinkToFit="0" vertical="bottom" wrapText="1"/>
    </xf>
    <xf borderId="19" fillId="0" fontId="18" numFmtId="0" xfId="0" applyAlignment="1" applyBorder="1" applyFont="1">
      <alignment horizontal="center" shrinkToFit="0" vertical="bottom" wrapText="1"/>
    </xf>
    <xf borderId="5" fillId="0" fontId="18" numFmtId="0" xfId="0" applyAlignment="1" applyBorder="1" applyFont="1">
      <alignment horizontal="center" readingOrder="0" shrinkToFit="0" vertical="bottom" wrapText="1"/>
    </xf>
    <xf borderId="7" fillId="0" fontId="11" numFmtId="0" xfId="0" applyAlignment="1" applyBorder="1" applyFont="1">
      <alignment readingOrder="0" vertical="bottom"/>
    </xf>
    <xf borderId="29" fillId="0" fontId="11" numFmtId="0" xfId="0" applyAlignment="1" applyBorder="1" applyFont="1">
      <alignment readingOrder="0" vertical="bottom"/>
    </xf>
    <xf borderId="30" fillId="0" fontId="11" numFmtId="0" xfId="0" applyAlignment="1" applyBorder="1" applyFont="1">
      <alignment vertical="bottom"/>
    </xf>
    <xf borderId="7" fillId="0" fontId="3" numFmtId="0" xfId="0" applyAlignment="1" applyBorder="1" applyFont="1">
      <alignment readingOrder="0"/>
    </xf>
    <xf borderId="29" fillId="0" fontId="3" numFmtId="0" xfId="0" applyBorder="1" applyFont="1"/>
    <xf borderId="30" fillId="0" fontId="3" numFmtId="0" xfId="0" applyBorder="1" applyFont="1"/>
    <xf borderId="5" fillId="0" fontId="10" numFmtId="0" xfId="0" applyAlignment="1" applyBorder="1" applyFont="1">
      <alignment vertical="bottom"/>
    </xf>
    <xf borderId="5" fillId="0" fontId="11" numFmtId="0" xfId="0" applyAlignment="1" applyBorder="1" applyFont="1">
      <alignment vertical="bottom"/>
    </xf>
    <xf borderId="5" fillId="0" fontId="11" numFmtId="0" xfId="0" applyAlignment="1" applyBorder="1" applyFont="1">
      <alignment horizontal="right" vertical="bottom"/>
    </xf>
    <xf borderId="5" fillId="0" fontId="11" numFmtId="0" xfId="0" applyAlignment="1" applyBorder="1" applyFont="1">
      <alignment horizontal="right" vertical="bottom"/>
    </xf>
    <xf borderId="5" fillId="0" fontId="11" numFmtId="0" xfId="0" applyAlignment="1" applyBorder="1" applyFont="1">
      <alignment readingOrder="0" vertical="bottom"/>
    </xf>
    <xf borderId="12" fillId="5" fontId="9" numFmtId="0" xfId="0" applyAlignment="1" applyBorder="1" applyFill="1" applyFont="1">
      <alignment horizontal="center" readingOrder="0"/>
    </xf>
    <xf borderId="16" fillId="0" fontId="11" numFmtId="0" xfId="0" applyAlignment="1" applyBorder="1" applyFont="1">
      <alignment vertical="bottom"/>
    </xf>
    <xf borderId="6" fillId="3" fontId="11" numFmtId="0" xfId="0" applyAlignment="1" applyBorder="1" applyFont="1">
      <alignment horizontal="center" readingOrder="0"/>
    </xf>
    <xf borderId="19" fillId="0" fontId="11" numFmtId="0" xfId="0" applyAlignment="1" applyBorder="1" applyFont="1">
      <alignment readingOrder="0" vertical="bottom"/>
    </xf>
    <xf borderId="6" fillId="3" fontId="11" numFmtId="49" xfId="0" applyAlignment="1" applyBorder="1" applyFont="1" applyNumberFormat="1">
      <alignment horizontal="center" readingOrder="0" vertical="bottom"/>
    </xf>
    <xf borderId="9" fillId="3" fontId="11" numFmtId="49" xfId="0" applyAlignment="1" applyBorder="1" applyFont="1" applyNumberFormat="1">
      <alignment horizontal="center" readingOrder="0" vertical="bottom"/>
    </xf>
    <xf borderId="9" fillId="3" fontId="11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4" fillId="5" fontId="12" numFmtId="0" xfId="0" applyAlignment="1" applyBorder="1" applyFont="1">
      <alignment horizontal="center" readingOrder="0" vertical="bottom"/>
    </xf>
    <xf borderId="12" fillId="5" fontId="12" numFmtId="0" xfId="0" applyAlignment="1" applyBorder="1" applyFont="1">
      <alignment horizontal="center" readingOrder="0" vertical="bottom"/>
    </xf>
    <xf borderId="19" fillId="0" fontId="16" numFmtId="0" xfId="0" applyAlignment="1" applyBorder="1" applyFont="1">
      <alignment horizontal="center" readingOrder="0" shrinkToFit="0" vertical="bottom" wrapText="1"/>
    </xf>
    <xf borderId="5" fillId="0" fontId="16" numFmtId="4" xfId="0" applyAlignment="1" applyBorder="1" applyFont="1" applyNumberFormat="1">
      <alignment horizontal="center" readingOrder="0" shrinkToFit="0" vertical="bottom" wrapText="1"/>
    </xf>
    <xf borderId="5" fillId="0" fontId="14" numFmtId="4" xfId="0" applyAlignment="1" applyBorder="1" applyFont="1" applyNumberFormat="1">
      <alignment horizontal="center" readingOrder="0" shrinkToFit="0" vertical="bottom" wrapText="1"/>
    </xf>
    <xf borderId="0" fillId="0" fontId="18" numFmtId="0" xfId="0" applyAlignment="1" applyFont="1">
      <alignment horizontal="center" readingOrder="0" shrinkToFit="0" vertical="bottom" wrapText="1"/>
    </xf>
    <xf borderId="0" fillId="0" fontId="18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readingOrder="0" shrinkToFit="0" vertical="bottom" wrapText="1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>
        <v>3.0</v>
      </c>
      <c r="B4" s="2" t="s">
        <v>7</v>
      </c>
      <c r="C4" s="1" t="s">
        <v>8</v>
      </c>
    </row>
    <row r="5">
      <c r="A5" s="1">
        <v>4.0</v>
      </c>
      <c r="B5" s="2" t="s">
        <v>9</v>
      </c>
      <c r="C5" s="1" t="s">
        <v>10</v>
      </c>
    </row>
    <row r="6">
      <c r="A6" s="3"/>
      <c r="B6" s="3"/>
      <c r="C6" s="3"/>
    </row>
    <row r="7">
      <c r="B7" s="1" t="s">
        <v>11</v>
      </c>
      <c r="C7" s="4" t="s">
        <v>12</v>
      </c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  <c r="J2" s="10" t="s">
        <v>22</v>
      </c>
      <c r="K2" s="10" t="s">
        <v>23</v>
      </c>
      <c r="L2" s="10" t="s">
        <v>24</v>
      </c>
      <c r="M2" s="11" t="s">
        <v>25</v>
      </c>
    </row>
    <row r="3">
      <c r="A3" s="9" t="s">
        <v>26</v>
      </c>
      <c r="B3" s="10" t="s">
        <v>27</v>
      </c>
      <c r="C3" s="10" t="s">
        <v>28</v>
      </c>
      <c r="D3" s="10" t="s">
        <v>29</v>
      </c>
      <c r="E3" s="10" t="s">
        <v>30</v>
      </c>
      <c r="F3" s="10" t="s">
        <v>31</v>
      </c>
      <c r="G3" s="10" t="s">
        <v>32</v>
      </c>
      <c r="H3" s="10" t="s">
        <v>33</v>
      </c>
      <c r="I3" s="10" t="s">
        <v>34</v>
      </c>
      <c r="J3" s="10" t="s">
        <v>35</v>
      </c>
      <c r="K3" s="10" t="s">
        <v>36</v>
      </c>
      <c r="L3" s="10" t="s">
        <v>37</v>
      </c>
      <c r="M3" s="11" t="s">
        <v>38</v>
      </c>
    </row>
    <row r="4">
      <c r="A4" s="9" t="s">
        <v>39</v>
      </c>
      <c r="B4" s="10" t="s">
        <v>40</v>
      </c>
      <c r="C4" s="10" t="s">
        <v>41</v>
      </c>
      <c r="D4" s="10" t="s">
        <v>42</v>
      </c>
      <c r="E4" s="10" t="s">
        <v>43</v>
      </c>
      <c r="F4" s="10" t="s">
        <v>44</v>
      </c>
      <c r="G4" s="10" t="s">
        <v>45</v>
      </c>
      <c r="H4" s="10" t="s">
        <v>46</v>
      </c>
      <c r="I4" s="10" t="s">
        <v>47</v>
      </c>
      <c r="J4" s="10" t="s">
        <v>48</v>
      </c>
      <c r="K4" s="10" t="s">
        <v>49</v>
      </c>
      <c r="L4" s="10" t="s">
        <v>50</v>
      </c>
      <c r="M4" s="11" t="s">
        <v>51</v>
      </c>
    </row>
    <row r="5">
      <c r="A5" s="9" t="s">
        <v>52</v>
      </c>
      <c r="B5" s="10" t="s">
        <v>53</v>
      </c>
      <c r="C5" s="10" t="s">
        <v>54</v>
      </c>
      <c r="D5" s="10" t="s">
        <v>55</v>
      </c>
      <c r="E5" s="10" t="s">
        <v>56</v>
      </c>
      <c r="F5" s="10" t="s">
        <v>57</v>
      </c>
      <c r="G5" s="10" t="s">
        <v>58</v>
      </c>
      <c r="H5" s="10" t="s">
        <v>59</v>
      </c>
      <c r="I5" s="10" t="s">
        <v>60</v>
      </c>
      <c r="J5" s="10" t="s">
        <v>61</v>
      </c>
      <c r="K5" s="10" t="s">
        <v>62</v>
      </c>
      <c r="L5" s="10" t="s">
        <v>63</v>
      </c>
      <c r="M5" s="11" t="s">
        <v>64</v>
      </c>
    </row>
    <row r="6">
      <c r="A6" s="9" t="s">
        <v>65</v>
      </c>
      <c r="B6" s="10" t="s">
        <v>66</v>
      </c>
      <c r="C6" s="10" t="s">
        <v>67</v>
      </c>
      <c r="D6" s="10" t="s">
        <v>68</v>
      </c>
      <c r="E6" s="10" t="s">
        <v>69</v>
      </c>
      <c r="F6" s="10" t="s">
        <v>70</v>
      </c>
      <c r="G6" s="10" t="s">
        <v>71</v>
      </c>
      <c r="H6" s="10" t="s">
        <v>72</v>
      </c>
      <c r="I6" s="10" t="s">
        <v>73</v>
      </c>
      <c r="J6" s="10" t="s">
        <v>74</v>
      </c>
      <c r="K6" s="10" t="s">
        <v>75</v>
      </c>
      <c r="L6" s="10" t="s">
        <v>76</v>
      </c>
      <c r="M6" s="11" t="s">
        <v>77</v>
      </c>
    </row>
    <row r="7">
      <c r="A7" s="9" t="s">
        <v>78</v>
      </c>
      <c r="B7" s="10" t="s">
        <v>79</v>
      </c>
      <c r="C7" s="10" t="s">
        <v>80</v>
      </c>
      <c r="D7" s="10" t="s">
        <v>81</v>
      </c>
      <c r="E7" s="10" t="s">
        <v>82</v>
      </c>
      <c r="F7" s="10" t="s">
        <v>83</v>
      </c>
      <c r="G7" s="10" t="s">
        <v>84</v>
      </c>
      <c r="H7" s="10" t="s">
        <v>85</v>
      </c>
      <c r="I7" s="10" t="s">
        <v>86</v>
      </c>
      <c r="J7" s="10" t="s">
        <v>87</v>
      </c>
      <c r="K7" s="10" t="s">
        <v>88</v>
      </c>
      <c r="L7" s="10" t="s">
        <v>89</v>
      </c>
      <c r="M7" s="11" t="s">
        <v>90</v>
      </c>
    </row>
    <row r="8">
      <c r="A8" s="9" t="s">
        <v>91</v>
      </c>
      <c r="B8" s="10" t="s">
        <v>92</v>
      </c>
      <c r="C8" s="10" t="s">
        <v>93</v>
      </c>
      <c r="D8" s="10" t="s">
        <v>94</v>
      </c>
      <c r="E8" s="10" t="s">
        <v>95</v>
      </c>
      <c r="F8" s="10" t="s">
        <v>96</v>
      </c>
      <c r="G8" s="10" t="s">
        <v>97</v>
      </c>
      <c r="H8" s="10" t="s">
        <v>98</v>
      </c>
      <c r="I8" s="10" t="s">
        <v>99</v>
      </c>
      <c r="J8" s="10" t="s">
        <v>100</v>
      </c>
      <c r="K8" s="10" t="s">
        <v>101</v>
      </c>
      <c r="L8" s="10" t="s">
        <v>102</v>
      </c>
      <c r="M8" s="12" t="s">
        <v>103</v>
      </c>
    </row>
    <row r="9">
      <c r="A9" s="13" t="s">
        <v>104</v>
      </c>
      <c r="B9" s="10" t="s">
        <v>105</v>
      </c>
      <c r="C9" s="10" t="s">
        <v>106</v>
      </c>
      <c r="D9" s="10" t="s">
        <v>107</v>
      </c>
      <c r="E9" s="10" t="s">
        <v>108</v>
      </c>
      <c r="F9" s="10" t="s">
        <v>109</v>
      </c>
      <c r="G9" s="10" t="s">
        <v>110</v>
      </c>
      <c r="H9" s="10" t="s">
        <v>111</v>
      </c>
      <c r="I9" s="10" t="s">
        <v>112</v>
      </c>
      <c r="J9" s="10" t="s">
        <v>113</v>
      </c>
      <c r="K9" s="10" t="s">
        <v>114</v>
      </c>
      <c r="L9" s="14" t="s">
        <v>115</v>
      </c>
      <c r="M9" s="15" t="s">
        <v>116</v>
      </c>
    </row>
    <row r="11">
      <c r="F11" s="16" t="s">
        <v>117</v>
      </c>
      <c r="H11" s="17" t="s">
        <v>118</v>
      </c>
    </row>
    <row r="12">
      <c r="A12" s="18" t="s">
        <v>119</v>
      </c>
      <c r="B12" s="19"/>
      <c r="C12" s="20" t="s">
        <v>120</v>
      </c>
      <c r="F12" s="21" t="s">
        <v>121</v>
      </c>
      <c r="G12" s="22"/>
      <c r="H12" s="22"/>
      <c r="I12" s="22"/>
      <c r="J12" s="23"/>
    </row>
    <row r="13">
      <c r="F13" s="24" t="s">
        <v>122</v>
      </c>
      <c r="I13" s="25"/>
      <c r="J13" s="15" t="b">
        <v>1</v>
      </c>
    </row>
    <row r="14">
      <c r="A14" s="21" t="s">
        <v>123</v>
      </c>
      <c r="B14" s="22"/>
      <c r="C14" s="23"/>
      <c r="F14" s="26" t="s">
        <v>124</v>
      </c>
      <c r="G14" s="27"/>
      <c r="H14" s="27"/>
      <c r="I14" s="28"/>
      <c r="J14" s="29" t="b">
        <v>1</v>
      </c>
    </row>
    <row r="15">
      <c r="A15" s="30" t="s">
        <v>125</v>
      </c>
      <c r="B15" s="31" t="s">
        <v>126</v>
      </c>
      <c r="C15" s="32" t="s">
        <v>127</v>
      </c>
      <c r="F15" s="26" t="s">
        <v>128</v>
      </c>
      <c r="G15" s="27"/>
      <c r="H15" s="27"/>
      <c r="I15" s="28"/>
      <c r="J15" s="29" t="b">
        <v>1</v>
      </c>
    </row>
    <row r="16">
      <c r="A16" s="33"/>
      <c r="B16" s="34"/>
      <c r="C16" s="35"/>
      <c r="F16" s="26" t="s">
        <v>129</v>
      </c>
      <c r="G16" s="27"/>
      <c r="H16" s="27"/>
      <c r="I16" s="28"/>
      <c r="J16" s="29" t="b">
        <v>1</v>
      </c>
    </row>
    <row r="17">
      <c r="A17" s="33" t="s">
        <v>130</v>
      </c>
      <c r="B17" s="34" t="s">
        <v>131</v>
      </c>
      <c r="C17" s="35" t="s">
        <v>132</v>
      </c>
      <c r="F17" s="26" t="s">
        <v>133</v>
      </c>
      <c r="G17" s="27"/>
      <c r="H17" s="27"/>
      <c r="I17" s="28"/>
      <c r="J17" s="29" t="b">
        <v>1</v>
      </c>
    </row>
    <row r="18">
      <c r="A18" s="33" t="s">
        <v>134</v>
      </c>
      <c r="B18" s="34" t="s">
        <v>131</v>
      </c>
      <c r="C18" s="35" t="s">
        <v>135</v>
      </c>
      <c r="F18" s="26" t="s">
        <v>136</v>
      </c>
      <c r="G18" s="27"/>
      <c r="H18" s="27"/>
      <c r="I18" s="28"/>
      <c r="J18" s="29" t="b">
        <v>1</v>
      </c>
    </row>
    <row r="19">
      <c r="A19" s="33" t="s">
        <v>137</v>
      </c>
      <c r="B19" s="34" t="s">
        <v>131</v>
      </c>
      <c r="C19" s="35">
        <v>234091.0</v>
      </c>
      <c r="F19" s="26" t="s">
        <v>138</v>
      </c>
      <c r="G19" s="27"/>
      <c r="H19" s="27"/>
      <c r="I19" s="28"/>
      <c r="J19" s="29" t="b">
        <v>1</v>
      </c>
    </row>
    <row r="20">
      <c r="A20" s="33" t="s">
        <v>139</v>
      </c>
      <c r="B20" s="34" t="s">
        <v>131</v>
      </c>
      <c r="C20" s="35" t="s">
        <v>140</v>
      </c>
      <c r="F20" s="26" t="s">
        <v>141</v>
      </c>
      <c r="G20" s="27"/>
      <c r="H20" s="27"/>
      <c r="I20" s="28"/>
      <c r="J20" s="29" t="b">
        <v>1</v>
      </c>
    </row>
    <row r="21">
      <c r="A21" s="33" t="s">
        <v>142</v>
      </c>
      <c r="B21" s="34" t="s">
        <v>131</v>
      </c>
      <c r="C21" s="35">
        <v>2937190.0</v>
      </c>
      <c r="F21" s="26" t="s">
        <v>143</v>
      </c>
      <c r="G21" s="27"/>
      <c r="H21" s="27"/>
      <c r="I21" s="28"/>
      <c r="J21" s="29" t="b">
        <v>1</v>
      </c>
    </row>
    <row r="22">
      <c r="A22" s="33" t="s">
        <v>144</v>
      </c>
      <c r="B22" s="34" t="s">
        <v>131</v>
      </c>
      <c r="C22" s="35" t="s">
        <v>145</v>
      </c>
      <c r="F22" s="26" t="s">
        <v>146</v>
      </c>
      <c r="G22" s="27"/>
      <c r="H22" s="27"/>
      <c r="I22" s="28"/>
      <c r="J22" s="29" t="b">
        <v>1</v>
      </c>
    </row>
    <row r="23">
      <c r="A23" s="33" t="s">
        <v>147</v>
      </c>
      <c r="B23" s="34" t="s">
        <v>131</v>
      </c>
      <c r="C23" s="35" t="s">
        <v>148</v>
      </c>
      <c r="F23" s="26" t="s">
        <v>149</v>
      </c>
      <c r="G23" s="27"/>
      <c r="H23" s="27"/>
      <c r="I23" s="28"/>
      <c r="J23" s="36" t="b">
        <v>0</v>
      </c>
    </row>
    <row r="24">
      <c r="A24" s="33" t="s">
        <v>150</v>
      </c>
      <c r="B24" s="34" t="s">
        <v>131</v>
      </c>
      <c r="C24" s="35" t="s">
        <v>151</v>
      </c>
      <c r="F24" s="26" t="s">
        <v>152</v>
      </c>
      <c r="G24" s="27"/>
      <c r="H24" s="27"/>
      <c r="I24" s="28"/>
      <c r="J24" s="36" t="b">
        <v>0</v>
      </c>
    </row>
    <row r="25">
      <c r="A25" s="37" t="s">
        <v>153</v>
      </c>
      <c r="B25" s="38" t="s">
        <v>131</v>
      </c>
      <c r="C25" s="39" t="s">
        <v>154</v>
      </c>
      <c r="F25" s="40" t="s">
        <v>155</v>
      </c>
      <c r="G25" s="41"/>
      <c r="H25" s="41"/>
      <c r="I25" s="42"/>
      <c r="J25" s="43" t="b">
        <v>0</v>
      </c>
    </row>
    <row r="26">
      <c r="A26" s="44"/>
      <c r="B26" s="45"/>
      <c r="C26" s="44"/>
    </row>
    <row r="28" ht="50.25" customHeight="1">
      <c r="A28" s="46" t="s">
        <v>156</v>
      </c>
      <c r="B28" s="27"/>
      <c r="C28" s="28"/>
      <c r="F28" s="47" t="s">
        <v>157</v>
      </c>
      <c r="G28" s="48"/>
      <c r="H28" s="48"/>
      <c r="I28" s="48"/>
      <c r="J28" s="48"/>
      <c r="K28" s="48"/>
      <c r="L28" s="48"/>
      <c r="M28" s="49"/>
    </row>
    <row r="29" ht="23.25" customHeight="1">
      <c r="A29" s="50" t="s">
        <v>158</v>
      </c>
      <c r="B29" s="51">
        <f>COUNTA($B$2:$L$9,$M$9)</f>
        <v>89</v>
      </c>
      <c r="C29" s="52" t="s">
        <v>159</v>
      </c>
      <c r="F29" s="53"/>
      <c r="G29" s="54"/>
      <c r="H29" s="54"/>
      <c r="I29" s="54"/>
      <c r="J29" s="54"/>
      <c r="K29" s="54"/>
      <c r="L29" s="54"/>
      <c r="M29" s="55"/>
    </row>
    <row r="30">
      <c r="A30" s="50" t="s">
        <v>160</v>
      </c>
      <c r="B30" s="56">
        <v>1.2</v>
      </c>
      <c r="C30" s="52" t="s">
        <v>161</v>
      </c>
      <c r="F30" s="24" t="s">
        <v>162</v>
      </c>
      <c r="M30" s="57"/>
    </row>
    <row r="31">
      <c r="A31" s="58"/>
      <c r="B31" s="58"/>
      <c r="C31" s="59"/>
      <c r="F31" s="60"/>
      <c r="M31" s="57"/>
    </row>
    <row r="32">
      <c r="A32" s="61" t="s">
        <v>163</v>
      </c>
      <c r="B32" s="22"/>
      <c r="C32" s="23"/>
      <c r="F32" s="60"/>
      <c r="M32" s="57"/>
    </row>
    <row r="33">
      <c r="A33" s="62" t="s">
        <v>164</v>
      </c>
      <c r="B33" s="63" t="s">
        <v>165</v>
      </c>
      <c r="C33" s="64" t="s">
        <v>166</v>
      </c>
      <c r="D33" s="65" t="s">
        <v>167</v>
      </c>
      <c r="F33" s="60"/>
      <c r="M33" s="57"/>
    </row>
    <row r="34">
      <c r="A34" s="66" t="s">
        <v>168</v>
      </c>
      <c r="B34" s="67">
        <v>60.0</v>
      </c>
      <c r="C34" s="68">
        <f t="shared" ref="C34:C37" si="1">B34*$B$29*$B$30</f>
        <v>6408</v>
      </c>
      <c r="D34" s="69" t="b">
        <v>1</v>
      </c>
      <c r="F34" s="60"/>
      <c r="M34" s="57"/>
    </row>
    <row r="35">
      <c r="A35" s="66" t="s">
        <v>142</v>
      </c>
      <c r="B35" s="67">
        <v>1.0</v>
      </c>
      <c r="C35" s="68">
        <f t="shared" si="1"/>
        <v>106.8</v>
      </c>
      <c r="D35" s="69" t="b">
        <v>1</v>
      </c>
      <c r="F35" s="60"/>
      <c r="M35" s="57"/>
    </row>
    <row r="36">
      <c r="A36" s="66" t="s">
        <v>169</v>
      </c>
      <c r="B36" s="67">
        <v>70.0</v>
      </c>
      <c r="C36" s="68">
        <f t="shared" si="1"/>
        <v>7476</v>
      </c>
      <c r="D36" s="69" t="b">
        <v>1</v>
      </c>
      <c r="F36" s="60"/>
      <c r="M36" s="57"/>
    </row>
    <row r="37">
      <c r="A37" s="70" t="s">
        <v>170</v>
      </c>
      <c r="B37" s="71">
        <f>sum(B34:B36)</f>
        <v>131</v>
      </c>
      <c r="C37" s="68">
        <f t="shared" si="1"/>
        <v>13990.8</v>
      </c>
      <c r="F37" s="60"/>
      <c r="M37" s="57"/>
    </row>
    <row r="38">
      <c r="A38" s="72" t="s">
        <v>171</v>
      </c>
      <c r="B38" s="45">
        <v>8.0</v>
      </c>
      <c r="C38" s="73">
        <f>C37/B38</f>
        <v>1748.85</v>
      </c>
      <c r="F38" s="60"/>
      <c r="M38" s="57"/>
    </row>
    <row r="39">
      <c r="A39" s="74"/>
      <c r="B39" s="44"/>
      <c r="C39" s="73"/>
      <c r="F39" s="60"/>
      <c r="M39" s="57"/>
    </row>
    <row r="40">
      <c r="A40" s="75" t="s">
        <v>172</v>
      </c>
      <c r="B40" s="76" t="s">
        <v>165</v>
      </c>
      <c r="C40" s="77" t="s">
        <v>166</v>
      </c>
      <c r="F40" s="60"/>
      <c r="M40" s="57"/>
    </row>
    <row r="41">
      <c r="A41" s="78" t="s">
        <v>173</v>
      </c>
      <c r="B41" s="79">
        <v>5.0</v>
      </c>
      <c r="C41" s="68">
        <f t="shared" ref="C41:C43" si="2">B41*$B$29*$B$30</f>
        <v>534</v>
      </c>
      <c r="D41" s="69" t="b">
        <v>1</v>
      </c>
      <c r="F41" s="60"/>
      <c r="M41" s="57"/>
    </row>
    <row r="42">
      <c r="A42" s="78" t="s">
        <v>174</v>
      </c>
      <c r="B42" s="79">
        <v>5.0</v>
      </c>
      <c r="C42" s="68">
        <f t="shared" si="2"/>
        <v>534</v>
      </c>
      <c r="D42" s="69" t="b">
        <v>1</v>
      </c>
      <c r="F42" s="60"/>
      <c r="M42" s="57"/>
    </row>
    <row r="43">
      <c r="A43" s="80" t="s">
        <v>170</v>
      </c>
      <c r="B43" s="81">
        <f>sum(B41:B42)</f>
        <v>10</v>
      </c>
      <c r="C43" s="68">
        <f t="shared" si="2"/>
        <v>1068</v>
      </c>
      <c r="D43" s="69" t="b">
        <v>1</v>
      </c>
      <c r="F43" s="60"/>
      <c r="M43" s="57"/>
    </row>
    <row r="44">
      <c r="A44" s="82" t="s">
        <v>171</v>
      </c>
      <c r="B44" s="83">
        <v>8.0</v>
      </c>
      <c r="C44" s="84">
        <f>C43/B44</f>
        <v>133.5</v>
      </c>
      <c r="F44" s="60"/>
      <c r="M44" s="57"/>
    </row>
    <row r="45">
      <c r="F45" s="85" t="s">
        <v>175</v>
      </c>
      <c r="G45" s="86"/>
      <c r="H45" s="86"/>
      <c r="I45" s="86"/>
      <c r="J45" s="86"/>
      <c r="K45" s="86"/>
      <c r="L45" s="86"/>
      <c r="M45" s="87"/>
    </row>
    <row r="46">
      <c r="A46" s="88" t="s">
        <v>176</v>
      </c>
      <c r="B46" s="88" t="s">
        <v>177</v>
      </c>
      <c r="C46" s="88" t="s">
        <v>178</v>
      </c>
    </row>
    <row r="47">
      <c r="A47" s="89" t="s">
        <v>179</v>
      </c>
      <c r="B47" s="90">
        <v>200.0</v>
      </c>
      <c r="C47" s="91">
        <f>2*B47*$B$29*$B$30</f>
        <v>42720</v>
      </c>
      <c r="D47" s="69" t="b">
        <v>1</v>
      </c>
    </row>
    <row r="48">
      <c r="A48" s="89" t="s">
        <v>150</v>
      </c>
      <c r="B48" s="90">
        <v>200.0</v>
      </c>
      <c r="C48" s="91">
        <f t="shared" ref="C48:C49" si="3">B48*$B$29*$B$30</f>
        <v>21360</v>
      </c>
      <c r="D48" s="69" t="b">
        <v>1</v>
      </c>
    </row>
    <row r="49">
      <c r="A49" s="92" t="s">
        <v>180</v>
      </c>
      <c r="B49" s="91">
        <v>50.0</v>
      </c>
      <c r="C49" s="91">
        <f t="shared" si="3"/>
        <v>5340</v>
      </c>
      <c r="D49" s="69" t="b">
        <v>1</v>
      </c>
    </row>
  </sheetData>
  <mergeCells count="35">
    <mergeCell ref="A12:B12"/>
    <mergeCell ref="F12:J12"/>
    <mergeCell ref="F13:I13"/>
    <mergeCell ref="A14:C14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F23:I23"/>
    <mergeCell ref="F24:I24"/>
    <mergeCell ref="F25:I25"/>
    <mergeCell ref="A28:C28"/>
    <mergeCell ref="F28:M28"/>
    <mergeCell ref="F29:M29"/>
    <mergeCell ref="F30:M30"/>
    <mergeCell ref="A32:C32"/>
    <mergeCell ref="F38:M38"/>
    <mergeCell ref="F39:M39"/>
    <mergeCell ref="F40:M40"/>
    <mergeCell ref="F41:M41"/>
    <mergeCell ref="F42:M42"/>
    <mergeCell ref="F43:M43"/>
    <mergeCell ref="F44:M44"/>
    <mergeCell ref="F31:M31"/>
    <mergeCell ref="F32:M32"/>
    <mergeCell ref="F33:M33"/>
    <mergeCell ref="F34:M34"/>
    <mergeCell ref="F35:M35"/>
    <mergeCell ref="F36:M36"/>
    <mergeCell ref="F37:M37"/>
  </mergeCells>
  <dataValidations>
    <dataValidation type="list" allowBlank="1" showErrorMessage="1" sqref="B16:B25">
      <formula1>"Ebel,FoCo,RahpVec"</formula1>
    </dataValidation>
  </dataValidations>
  <hyperlinks>
    <hyperlink r:id="rId1" ref="H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13</v>
      </c>
      <c r="B2" s="10" t="s">
        <v>181</v>
      </c>
      <c r="C2" s="10" t="s">
        <v>182</v>
      </c>
      <c r="D2" s="10" t="s">
        <v>183</v>
      </c>
      <c r="E2" s="10" t="s">
        <v>184</v>
      </c>
      <c r="F2" s="10" t="s">
        <v>185</v>
      </c>
      <c r="G2" s="10" t="s">
        <v>186</v>
      </c>
      <c r="H2" s="10" t="s">
        <v>187</v>
      </c>
      <c r="I2" s="10" t="s">
        <v>188</v>
      </c>
      <c r="J2" s="10" t="s">
        <v>189</v>
      </c>
      <c r="K2" s="10" t="s">
        <v>190</v>
      </c>
      <c r="L2" s="10" t="s">
        <v>191</v>
      </c>
      <c r="M2" s="12" t="s">
        <v>25</v>
      </c>
    </row>
    <row r="3">
      <c r="A3" s="9" t="s">
        <v>26</v>
      </c>
      <c r="B3" s="10" t="s">
        <v>192</v>
      </c>
      <c r="C3" s="10" t="s">
        <v>193</v>
      </c>
      <c r="D3" s="10" t="s">
        <v>194</v>
      </c>
      <c r="E3" s="10" t="s">
        <v>195</v>
      </c>
      <c r="F3" s="10" t="s">
        <v>196</v>
      </c>
      <c r="G3" s="10" t="s">
        <v>197</v>
      </c>
      <c r="H3" s="10" t="s">
        <v>198</v>
      </c>
      <c r="I3" s="10" t="s">
        <v>199</v>
      </c>
      <c r="J3" s="10" t="s">
        <v>200</v>
      </c>
      <c r="K3" s="10" t="s">
        <v>201</v>
      </c>
      <c r="L3" s="10" t="s">
        <v>202</v>
      </c>
      <c r="M3" s="12" t="s">
        <v>38</v>
      </c>
    </row>
    <row r="4">
      <c r="A4" s="9" t="s">
        <v>39</v>
      </c>
      <c r="B4" s="10" t="s">
        <v>203</v>
      </c>
      <c r="C4" s="10" t="s">
        <v>204</v>
      </c>
      <c r="D4" s="10" t="s">
        <v>205</v>
      </c>
      <c r="E4" s="10" t="s">
        <v>206</v>
      </c>
      <c r="F4" s="10" t="s">
        <v>207</v>
      </c>
      <c r="G4" s="10" t="s">
        <v>208</v>
      </c>
      <c r="H4" s="10" t="s">
        <v>209</v>
      </c>
      <c r="I4" s="10" t="s">
        <v>210</v>
      </c>
      <c r="J4" s="10" t="s">
        <v>211</v>
      </c>
      <c r="K4" s="10" t="s">
        <v>212</v>
      </c>
      <c r="L4" s="10" t="s">
        <v>213</v>
      </c>
      <c r="M4" s="12" t="s">
        <v>51</v>
      </c>
    </row>
    <row r="5">
      <c r="A5" s="9" t="s">
        <v>52</v>
      </c>
      <c r="B5" s="10" t="s">
        <v>214</v>
      </c>
      <c r="C5" s="10" t="s">
        <v>215</v>
      </c>
      <c r="D5" s="10" t="s">
        <v>216</v>
      </c>
      <c r="E5" s="10" t="s">
        <v>217</v>
      </c>
      <c r="F5" s="10" t="s">
        <v>218</v>
      </c>
      <c r="G5" s="10" t="s">
        <v>219</v>
      </c>
      <c r="H5" s="10" t="s">
        <v>220</v>
      </c>
      <c r="I5" s="10" t="s">
        <v>221</v>
      </c>
      <c r="J5" s="10" t="s">
        <v>222</v>
      </c>
      <c r="K5" s="10" t="s">
        <v>223</v>
      </c>
      <c r="L5" s="10" t="s">
        <v>224</v>
      </c>
      <c r="M5" s="12" t="s">
        <v>64</v>
      </c>
    </row>
    <row r="6">
      <c r="A6" s="9" t="s">
        <v>65</v>
      </c>
      <c r="B6" s="10" t="s">
        <v>225</v>
      </c>
      <c r="C6" s="10" t="s">
        <v>226</v>
      </c>
      <c r="D6" s="10" t="s">
        <v>227</v>
      </c>
      <c r="E6" s="10" t="s">
        <v>228</v>
      </c>
      <c r="F6" s="10" t="s">
        <v>229</v>
      </c>
      <c r="G6" s="10" t="s">
        <v>230</v>
      </c>
      <c r="H6" s="10" t="s">
        <v>231</v>
      </c>
      <c r="I6" s="10" t="s">
        <v>232</v>
      </c>
      <c r="J6" s="10" t="s">
        <v>233</v>
      </c>
      <c r="K6" s="10" t="s">
        <v>234</v>
      </c>
      <c r="L6" s="10" t="s">
        <v>235</v>
      </c>
      <c r="M6" s="12" t="s">
        <v>77</v>
      </c>
    </row>
    <row r="7">
      <c r="A7" s="9" t="s">
        <v>78</v>
      </c>
      <c r="B7" s="10" t="s">
        <v>236</v>
      </c>
      <c r="C7" s="10" t="s">
        <v>237</v>
      </c>
      <c r="D7" s="10" t="s">
        <v>238</v>
      </c>
      <c r="E7" s="10" t="s">
        <v>239</v>
      </c>
      <c r="F7" s="10" t="s">
        <v>240</v>
      </c>
      <c r="G7" s="10" t="s">
        <v>241</v>
      </c>
      <c r="H7" s="10" t="s">
        <v>242</v>
      </c>
      <c r="I7" s="10" t="s">
        <v>243</v>
      </c>
      <c r="J7" s="10" t="s">
        <v>244</v>
      </c>
      <c r="K7" s="10" t="s">
        <v>245</v>
      </c>
      <c r="L7" s="10" t="s">
        <v>246</v>
      </c>
      <c r="M7" s="12" t="s">
        <v>90</v>
      </c>
    </row>
    <row r="8">
      <c r="A8" s="9" t="s">
        <v>91</v>
      </c>
      <c r="B8" s="10" t="s">
        <v>247</v>
      </c>
      <c r="C8" s="10" t="s">
        <v>248</v>
      </c>
      <c r="D8" s="10" t="s">
        <v>249</v>
      </c>
      <c r="E8" s="10" t="s">
        <v>250</v>
      </c>
      <c r="F8" s="10" t="s">
        <v>251</v>
      </c>
      <c r="G8" s="10" t="s">
        <v>252</v>
      </c>
      <c r="H8" s="10" t="s">
        <v>253</v>
      </c>
      <c r="I8" s="10" t="s">
        <v>254</v>
      </c>
      <c r="J8" s="10" t="s">
        <v>255</v>
      </c>
      <c r="K8" s="10" t="s">
        <v>256</v>
      </c>
      <c r="L8" s="10" t="s">
        <v>257</v>
      </c>
      <c r="M8" s="12" t="s">
        <v>103</v>
      </c>
    </row>
    <row r="9">
      <c r="A9" s="13" t="s">
        <v>104</v>
      </c>
      <c r="B9" s="10" t="s">
        <v>258</v>
      </c>
      <c r="C9" s="10" t="s">
        <v>259</v>
      </c>
      <c r="D9" s="10" t="s">
        <v>260</v>
      </c>
      <c r="E9" s="10" t="s">
        <v>261</v>
      </c>
      <c r="F9" s="10" t="s">
        <v>262</v>
      </c>
      <c r="G9" s="10" t="s">
        <v>263</v>
      </c>
      <c r="H9" s="10" t="s">
        <v>264</v>
      </c>
      <c r="I9" s="10" t="s">
        <v>265</v>
      </c>
      <c r="J9" s="10" t="s">
        <v>266</v>
      </c>
      <c r="K9" s="10" t="s">
        <v>267</v>
      </c>
      <c r="L9" s="14" t="s">
        <v>268</v>
      </c>
      <c r="M9" s="15" t="s">
        <v>269</v>
      </c>
    </row>
    <row r="11">
      <c r="A11" s="18" t="s">
        <v>119</v>
      </c>
      <c r="B11" s="19"/>
      <c r="C11" s="20" t="s">
        <v>120</v>
      </c>
    </row>
    <row r="13">
      <c r="E13" s="16" t="s">
        <v>117</v>
      </c>
      <c r="G13" s="17" t="s">
        <v>270</v>
      </c>
    </row>
    <row r="14">
      <c r="A14" s="93" t="s">
        <v>123</v>
      </c>
      <c r="B14" s="22"/>
      <c r="C14" s="23"/>
      <c r="E14" s="93" t="s">
        <v>121</v>
      </c>
      <c r="F14" s="22"/>
      <c r="G14" s="22"/>
      <c r="H14" s="22"/>
      <c r="I14" s="23"/>
    </row>
    <row r="15">
      <c r="A15" s="30" t="s">
        <v>125</v>
      </c>
      <c r="B15" s="31" t="s">
        <v>126</v>
      </c>
      <c r="C15" s="32" t="s">
        <v>127</v>
      </c>
      <c r="E15" s="94" t="s">
        <v>271</v>
      </c>
      <c r="F15" s="27"/>
      <c r="G15" s="27"/>
      <c r="H15" s="28"/>
      <c r="I15" s="95" t="b">
        <v>1</v>
      </c>
    </row>
    <row r="16">
      <c r="A16" s="96" t="s">
        <v>272</v>
      </c>
      <c r="B16" s="34" t="s">
        <v>131</v>
      </c>
      <c r="C16" s="97" t="s">
        <v>132</v>
      </c>
      <c r="E16" s="94" t="s">
        <v>273</v>
      </c>
      <c r="F16" s="27"/>
      <c r="G16" s="27"/>
      <c r="H16" s="28"/>
      <c r="I16" s="95" t="b">
        <v>1</v>
      </c>
    </row>
    <row r="17">
      <c r="A17" s="96" t="s">
        <v>274</v>
      </c>
      <c r="B17" s="34" t="s">
        <v>131</v>
      </c>
      <c r="C17" s="97" t="s">
        <v>275</v>
      </c>
      <c r="E17" s="94" t="s">
        <v>276</v>
      </c>
      <c r="F17" s="27"/>
      <c r="G17" s="27"/>
      <c r="H17" s="28"/>
      <c r="I17" s="95" t="b">
        <v>1</v>
      </c>
    </row>
    <row r="18">
      <c r="A18" s="96" t="s">
        <v>277</v>
      </c>
      <c r="B18" s="34" t="s">
        <v>131</v>
      </c>
      <c r="C18" s="97" t="s">
        <v>132</v>
      </c>
      <c r="E18" s="94" t="s">
        <v>278</v>
      </c>
      <c r="F18" s="27"/>
      <c r="G18" s="27"/>
      <c r="H18" s="28"/>
      <c r="I18" s="95" t="b">
        <v>1</v>
      </c>
    </row>
    <row r="19">
      <c r="A19" s="37" t="s">
        <v>279</v>
      </c>
      <c r="B19" s="38" t="s">
        <v>131</v>
      </c>
      <c r="C19" s="98" t="s">
        <v>280</v>
      </c>
      <c r="E19" s="94" t="s">
        <v>281</v>
      </c>
      <c r="F19" s="27"/>
      <c r="G19" s="27"/>
      <c r="H19" s="28"/>
      <c r="I19" s="95" t="b">
        <v>1</v>
      </c>
    </row>
    <row r="20">
      <c r="A20" s="44"/>
      <c r="B20" s="44"/>
      <c r="C20" s="44"/>
      <c r="E20" s="94" t="s">
        <v>282</v>
      </c>
      <c r="F20" s="27"/>
      <c r="G20" s="27"/>
      <c r="H20" s="28"/>
      <c r="I20" s="99" t="b">
        <v>0</v>
      </c>
    </row>
    <row r="21">
      <c r="A21" s="44"/>
      <c r="B21" s="44"/>
      <c r="C21" s="44"/>
      <c r="E21" s="100"/>
    </row>
    <row r="22">
      <c r="A22" s="101" t="s">
        <v>156</v>
      </c>
      <c r="B22" s="27"/>
      <c r="C22" s="28"/>
      <c r="E22" s="47" t="s">
        <v>157</v>
      </c>
      <c r="F22" s="48"/>
      <c r="G22" s="48"/>
      <c r="H22" s="48"/>
      <c r="I22" s="48"/>
      <c r="J22" s="48"/>
      <c r="K22" s="48"/>
      <c r="L22" s="49"/>
    </row>
    <row r="23" ht="42.75" customHeight="1">
      <c r="A23" s="50" t="s">
        <v>158</v>
      </c>
      <c r="B23" s="51">
        <f>COUNTA($B$2:$M$9)</f>
        <v>96</v>
      </c>
      <c r="C23" s="52" t="s">
        <v>283</v>
      </c>
      <c r="E23" s="53"/>
      <c r="F23" s="54"/>
      <c r="G23" s="54"/>
      <c r="H23" s="54"/>
      <c r="I23" s="54"/>
      <c r="J23" s="54"/>
      <c r="K23" s="54"/>
      <c r="L23" s="55"/>
    </row>
    <row r="24" ht="59.25" customHeight="1">
      <c r="A24" s="50" t="s">
        <v>160</v>
      </c>
      <c r="B24" s="56">
        <v>1.2</v>
      </c>
      <c r="C24" s="52" t="s">
        <v>161</v>
      </c>
      <c r="E24" s="60"/>
      <c r="L24" s="57"/>
    </row>
    <row r="25">
      <c r="E25" s="60"/>
      <c r="L25" s="57"/>
    </row>
    <row r="26">
      <c r="E26" s="60"/>
      <c r="L26" s="57"/>
    </row>
    <row r="27">
      <c r="A27" s="102" t="s">
        <v>163</v>
      </c>
      <c r="B27" s="22"/>
      <c r="C27" s="23"/>
      <c r="E27" s="60"/>
      <c r="L27" s="57"/>
    </row>
    <row r="28">
      <c r="A28" s="62" t="s">
        <v>284</v>
      </c>
      <c r="B28" s="63" t="s">
        <v>165</v>
      </c>
      <c r="C28" s="64" t="s">
        <v>166</v>
      </c>
      <c r="E28" s="60"/>
      <c r="L28" s="57"/>
    </row>
    <row r="29">
      <c r="A29" s="103" t="s">
        <v>274</v>
      </c>
      <c r="B29" s="104">
        <v>10.0</v>
      </c>
      <c r="C29" s="68">
        <f t="shared" ref="C29:C31" si="1">B29*$B$23*$B$24</f>
        <v>1152</v>
      </c>
      <c r="E29" s="60"/>
      <c r="L29" s="57"/>
    </row>
    <row r="30">
      <c r="A30" s="103" t="s">
        <v>285</v>
      </c>
      <c r="B30" s="104">
        <v>4.0</v>
      </c>
      <c r="C30" s="68">
        <f t="shared" si="1"/>
        <v>460.8</v>
      </c>
      <c r="E30" s="60"/>
      <c r="L30" s="57"/>
    </row>
    <row r="31">
      <c r="A31" s="103" t="s">
        <v>286</v>
      </c>
      <c r="B31" s="104">
        <v>1.0</v>
      </c>
      <c r="C31" s="68">
        <f t="shared" si="1"/>
        <v>115.2</v>
      </c>
      <c r="E31" s="60"/>
      <c r="L31" s="57"/>
    </row>
    <row r="32">
      <c r="A32" s="70" t="s">
        <v>170</v>
      </c>
      <c r="B32" s="105">
        <f t="shared" ref="B32:C32" si="2">sum(B29:B31)</f>
        <v>15</v>
      </c>
      <c r="C32" s="68">
        <f t="shared" si="2"/>
        <v>1728</v>
      </c>
      <c r="E32" s="60"/>
      <c r="L32" s="57"/>
    </row>
    <row r="33">
      <c r="A33" s="82" t="s">
        <v>171</v>
      </c>
      <c r="B33" s="83">
        <v>8.0</v>
      </c>
      <c r="C33" s="84">
        <f>C32/B33</f>
        <v>216</v>
      </c>
      <c r="E33" s="60"/>
      <c r="L33" s="57"/>
    </row>
    <row r="34">
      <c r="E34" s="60"/>
      <c r="L34" s="57"/>
    </row>
    <row r="35">
      <c r="E35" s="60"/>
      <c r="L35" s="57"/>
    </row>
    <row r="36">
      <c r="E36" s="60"/>
      <c r="L36" s="57"/>
    </row>
    <row r="37">
      <c r="E37" s="60"/>
      <c r="L37" s="57"/>
    </row>
    <row r="38">
      <c r="E38" s="60"/>
      <c r="L38" s="57"/>
    </row>
    <row r="39">
      <c r="A39" s="44"/>
      <c r="B39" s="44"/>
      <c r="C39" s="44"/>
      <c r="E39" s="85" t="s">
        <v>175</v>
      </c>
      <c r="F39" s="86"/>
      <c r="G39" s="86"/>
      <c r="H39" s="86"/>
      <c r="I39" s="86"/>
      <c r="J39" s="86"/>
      <c r="K39" s="86"/>
      <c r="L39" s="87"/>
    </row>
    <row r="40">
      <c r="A40" s="44"/>
      <c r="B40" s="44"/>
      <c r="C40" s="44"/>
    </row>
    <row r="41">
      <c r="A41" s="106"/>
      <c r="B41" s="107"/>
      <c r="C41" s="106"/>
    </row>
    <row r="42">
      <c r="A42" s="108"/>
      <c r="B42" s="109"/>
      <c r="C42" s="110"/>
    </row>
    <row r="43">
      <c r="A43" s="108"/>
      <c r="B43" s="109"/>
      <c r="C43" s="110"/>
    </row>
    <row r="44">
      <c r="A44" s="107"/>
      <c r="B44" s="106"/>
      <c r="C44" s="110"/>
    </row>
    <row r="45">
      <c r="A45" s="44"/>
      <c r="B45" s="44"/>
      <c r="C45" s="44"/>
    </row>
  </sheetData>
  <mergeCells count="29">
    <mergeCell ref="A11:B11"/>
    <mergeCell ref="A14:C14"/>
    <mergeCell ref="E14:I14"/>
    <mergeCell ref="E15:H15"/>
    <mergeCell ref="E16:H16"/>
    <mergeCell ref="E17:H17"/>
    <mergeCell ref="E18:H18"/>
    <mergeCell ref="E19:H19"/>
    <mergeCell ref="E20:H20"/>
    <mergeCell ref="E21:H21"/>
    <mergeCell ref="A22:C22"/>
    <mergeCell ref="E22:L22"/>
    <mergeCell ref="E23:L23"/>
    <mergeCell ref="E24:L24"/>
    <mergeCell ref="E31:L31"/>
    <mergeCell ref="E32:L32"/>
    <mergeCell ref="E33:L33"/>
    <mergeCell ref="E34:L34"/>
    <mergeCell ref="E35:L35"/>
    <mergeCell ref="E36:L36"/>
    <mergeCell ref="E37:L37"/>
    <mergeCell ref="E38:L38"/>
    <mergeCell ref="E25:L25"/>
    <mergeCell ref="E26:L26"/>
    <mergeCell ref="A27:C27"/>
    <mergeCell ref="E27:L27"/>
    <mergeCell ref="E28:L28"/>
    <mergeCell ref="E29:L29"/>
    <mergeCell ref="E30:L30"/>
  </mergeCells>
  <dataValidations>
    <dataValidation type="list" allowBlank="1" showErrorMessage="1" sqref="B16:B19">
      <formula1>"Ebel,FoCo,RahpVec"</formula1>
    </dataValidation>
  </dataValidations>
  <hyperlinks>
    <hyperlink r:id="rId1" ref="G13"/>
  </hyperlinks>
  <drawing r:id="rId2"/>
</worksheet>
</file>
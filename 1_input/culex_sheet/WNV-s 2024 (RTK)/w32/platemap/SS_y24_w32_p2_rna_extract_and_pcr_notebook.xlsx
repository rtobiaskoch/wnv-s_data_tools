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<sst xmlns="http://schemas.openxmlformats.org/spreadsheetml/2006/main" count="325" uniqueCount="239">
  <si>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</si>
  <si>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</si>
  <si>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</si>
  <si>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</si>
  <si>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</si>
  <si>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</si>
  <si>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</si>
  <si>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</si>
  <si>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</si>
  <si>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</si>
  <si>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</si>
  <si>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</si>
  <si>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</si>
  <si>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</si>
  <si>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CSU22659</t>
  </si>
  <si>
    <t>CSU22667</t>
  </si>
  <si>
    <t>CSU22675</t>
  </si>
  <si>
    <t>BOU00237</t>
  </si>
  <si>
    <t>CDC155</t>
  </si>
  <si>
    <t>CDC163</t>
  </si>
  <si>
    <t>RMRP00551</t>
  </si>
  <si>
    <t>RMRP00559</t>
  </si>
  <si>
    <t>RMRP00567</t>
  </si>
  <si>
    <t>RMRP00575</t>
  </si>
  <si>
    <t>wnv_std_1e6</t>
  </si>
  <si>
    <t>B</t>
  </si>
  <si>
    <t>CSU22660</t>
  </si>
  <si>
    <t>CSU22668</t>
  </si>
  <si>
    <t>CSU22676</t>
  </si>
  <si>
    <t>BOU00238</t>
  </si>
  <si>
    <t>CDC156</t>
  </si>
  <si>
    <t>CDC164</t>
  </si>
  <si>
    <t>RMRP00552</t>
  </si>
  <si>
    <t>RMRP00560</t>
  </si>
  <si>
    <t>RMRP00568</t>
  </si>
  <si>
    <t>RMRP00576</t>
  </si>
  <si>
    <t>wnv_std_1e4</t>
  </si>
  <si>
    <t>C</t>
  </si>
  <si>
    <t>CSU22661</t>
  </si>
  <si>
    <t>CSU22669</t>
  </si>
  <si>
    <t>CSU22677</t>
  </si>
  <si>
    <t>BOU00239</t>
  </si>
  <si>
    <t>CDC157</t>
  </si>
  <si>
    <t>CDC165</t>
  </si>
  <si>
    <t>RMRP00553</t>
  </si>
  <si>
    <t>RMRP00561</t>
  </si>
  <si>
    <t>RMRP00569</t>
  </si>
  <si>
    <t>RMRP00577</t>
  </si>
  <si>
    <t>wnv_std_1e2</t>
  </si>
  <si>
    <t>D</t>
  </si>
  <si>
    <t>CSU22662</t>
  </si>
  <si>
    <t>CSU22670</t>
  </si>
  <si>
    <t>CSU22678</t>
  </si>
  <si>
    <t>BOU00240</t>
  </si>
  <si>
    <t>CDC158</t>
  </si>
  <si>
    <t>CDC166</t>
  </si>
  <si>
    <t>RMRP00554</t>
  </si>
  <si>
    <t>RMRP00562</t>
  </si>
  <si>
    <t>RMRP00570</t>
  </si>
  <si>
    <t>RMRP00578</t>
  </si>
  <si>
    <t>slev_std_1e6</t>
  </si>
  <si>
    <t>E</t>
  </si>
  <si>
    <t>CSU22663</t>
  </si>
  <si>
    <t>CSU22671</t>
  </si>
  <si>
    <t>CSU22679</t>
  </si>
  <si>
    <t>CDC151</t>
  </si>
  <si>
    <t>CDC159</t>
  </si>
  <si>
    <t>CDC167</t>
  </si>
  <si>
    <t>RMRP00555</t>
  </si>
  <si>
    <t>RMRP00563</t>
  </si>
  <si>
    <t>RMRP00571</t>
  </si>
  <si>
    <t>RMRP00579</t>
  </si>
  <si>
    <t>slev_std_1e4</t>
  </si>
  <si>
    <t>F</t>
  </si>
  <si>
    <t>CSU22664</t>
  </si>
  <si>
    <t>CSU22672</t>
  </si>
  <si>
    <t>CSU22680</t>
  </si>
  <si>
    <t>CDC152</t>
  </si>
  <si>
    <t>CDC160</t>
  </si>
  <si>
    <t>CDC168</t>
  </si>
  <si>
    <t>RMRP00556</t>
  </si>
  <si>
    <t>RMRP00564</t>
  </si>
  <si>
    <t>RMRP00572</t>
  </si>
  <si>
    <t>RMRP00580</t>
  </si>
  <si>
    <t>slev_std_1e2</t>
  </si>
  <si>
    <t>G</t>
  </si>
  <si>
    <t>CSU22665</t>
  </si>
  <si>
    <t>CSU22673</t>
  </si>
  <si>
    <t>CSU22681</t>
  </si>
  <si>
    <t>CDC153</t>
  </si>
  <si>
    <t>CDC161</t>
  </si>
  <si>
    <t>CDC169</t>
  </si>
  <si>
    <t>RMRP00557</t>
  </si>
  <si>
    <t>RMRP00565</t>
  </si>
  <si>
    <t>RMRP00573</t>
  </si>
  <si>
    <t>neg pcr ctrl</t>
  </si>
  <si>
    <t>H</t>
  </si>
  <si>
    <t>CSU22666</t>
  </si>
  <si>
    <t>CSU22674</t>
  </si>
  <si>
    <t>BOU00236</t>
  </si>
  <si>
    <t>CDC154</t>
  </si>
  <si>
    <t>CDC162</t>
  </si>
  <si>
    <t>RMRP00550</t>
  </si>
  <si>
    <t>RMRP00558</t>
  </si>
  <si>
    <t>RMRP00566</t>
  </si>
  <si>
    <t>RMRP00574</t>
  </si>
  <si>
    <t>pos rna ctrl</t>
  </si>
  <si>
    <t xml:space="preserve"> neg extract ctl</t>
  </si>
  <si>
    <t>full protocol here -----------------------&gt;</t>
  </si>
  <si>
    <t>SS - RNA extraction</t>
  </si>
  <si>
    <t>YOUR NAME</t>
  </si>
  <si>
    <t>Catalina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</si>
  <si>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</si>
  <si>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</si>
  <si>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</si>
  <si>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</si>
  <si>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</si>
  <si>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</si>
  <si>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</si>
  <si>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</si>
  <si>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</si>
  <si>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</si>
  <si>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</si>
  <si>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</si>
  <si>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</si>
  <si>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</si>
  <si>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34905ge140</t>
  </si>
  <si>
    <t>beads at room temp</t>
  </si>
  <si>
    <t>Isopropanol</t>
  </si>
  <si>
    <t>beads vortexed</t>
  </si>
  <si>
    <t>Proteanase K</t>
  </si>
  <si>
    <t>57571en53</t>
  </si>
  <si>
    <t>beads and proteanase K thoroughly mixed prior to dispensing</t>
  </si>
  <si>
    <t>linear acrylamide</t>
  </si>
  <si>
    <t>maintenance plate run done prior to sample run</t>
  </si>
  <si>
    <t>magbind beads</t>
  </si>
  <si>
    <t>52526cy127</t>
  </si>
  <si>
    <t>A1 of sample plate oriented to A1 in machine</t>
  </si>
  <si>
    <t>SPR</t>
  </si>
  <si>
    <t>32990fw58</t>
  </si>
  <si>
    <t>Return tip plate to top of robot</t>
  </si>
  <si>
    <t>VHB</t>
  </si>
  <si>
    <t>36814gg167</t>
  </si>
  <si>
    <t>VHB, SPR and SAMPLE Plates liquid in sink plates in gargabe</t>
  </si>
  <si>
    <t>dfh20</t>
  </si>
  <si>
    <t>54299dy80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</si>
  <si>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</si>
  <si>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</si>
  <si>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</si>
  <si>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</si>
  <si>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</si>
  <si>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</si>
  <si>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</si>
  <si>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</si>
  <si>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</si>
  <si>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</si>
  <si>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</si>
  <si>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</si>
  <si>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</si>
  <si>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</si>
  <si>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</si>
  <si>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</si>
  <si>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</si>
  <si>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</si>
  <si>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</si>
  <si>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</si>
  <si>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</si>
  <si>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</si>
  <si>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</si>
  <si>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</si>
  <si>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</si>
  <si>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CSU-22659</t>
  </si>
  <si>
    <t>CSU-22667</t>
  </si>
  <si>
    <t>CSU-22675</t>
  </si>
  <si>
    <t>BOU-00237</t>
  </si>
  <si>
    <t>CDC-155</t>
  </si>
  <si>
    <t>CDC-163</t>
  </si>
  <si>
    <t>CSU-22660</t>
  </si>
  <si>
    <t>CSU-22668</t>
  </si>
  <si>
    <t>CSU-22676</t>
  </si>
  <si>
    <t>BOU-00238</t>
  </si>
  <si>
    <t>CDC-156</t>
  </si>
  <si>
    <t>CDC-164</t>
  </si>
  <si>
    <t>CSU-22661</t>
  </si>
  <si>
    <t>CSU-22669</t>
  </si>
  <si>
    <t>CSU-22677</t>
  </si>
  <si>
    <t>BOU-00239</t>
  </si>
  <si>
    <t>CDC-157</t>
  </si>
  <si>
    <t>CDC-165</t>
  </si>
  <si>
    <t>CSU-22662</t>
  </si>
  <si>
    <t>CSU-22670</t>
  </si>
  <si>
    <t>CSU-22678</t>
  </si>
  <si>
    <t>BOU-00240</t>
  </si>
  <si>
    <t>CDC-158</t>
  </si>
  <si>
    <t>CDC-166</t>
  </si>
  <si>
    <t>CSU-22663</t>
  </si>
  <si>
    <t>CSU-22671</t>
  </si>
  <si>
    <t>CSU-22679</t>
  </si>
  <si>
    <t>CDC-151</t>
  </si>
  <si>
    <t>CDC-159</t>
  </si>
  <si>
    <t>CDC-167</t>
  </si>
  <si>
    <t>CSU-22664</t>
  </si>
  <si>
    <t>CSU-22672</t>
  </si>
  <si>
    <t>CSU-22680</t>
  </si>
  <si>
    <t>CDC-152</t>
  </si>
  <si>
    <t>CDC-160</t>
  </si>
  <si>
    <t>CDC-168</t>
  </si>
  <si>
    <t>CSU-22665</t>
  </si>
  <si>
    <t>CSU-22673</t>
  </si>
  <si>
    <t>CSU-22681</t>
  </si>
  <si>
    <t>CDC-153</t>
  </si>
  <si>
    <t>CDC-161</t>
  </si>
  <si>
    <t>CDC-169</t>
  </si>
  <si>
    <t>CSU-22658</t>
  </si>
  <si>
    <t>neg h2O pcr ctrl</t>
  </si>
  <si>
    <t>CSU-22666</t>
  </si>
  <si>
    <t>CSU-22674</t>
  </si>
  <si>
    <t>BOU-00236</t>
  </si>
  <si>
    <t>CDC-154</t>
  </si>
  <si>
    <t>CDC-162</t>
  </si>
  <si>
    <t>neg rna ctrl</t>
  </si>
  <si>
    <t>SS - Multiplex qRT-PCR</t>
  </si>
  <si>
    <t>changed pipettes between samples</t>
  </si>
  <si>
    <t>Quantstudio</t>
  </si>
  <si>
    <t>neg pcr control added</t>
  </si>
  <si>
    <t>Mastermix</t>
  </si>
  <si>
    <t>2588173,2881788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</si>
  <si>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</si>
  <si>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</si>
  <si>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</si>
  <si>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</si>
  <si>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</si>
  <si>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</si>
  <si>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</si>
  <si>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</si>
  <si>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>CSU22658 is from well 11H on rnaextplate1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</si>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</sst>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3" fontId="3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8" fillId="2" fontId="4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7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8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8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Alignment="1" applyBorder="1" applyFill="1" applyFont="1">
      <alignment readingOrder="0"/>
    </xf>
    <xf borderId="5" fillId="6" fontId="3" numFmtId="0" xfId="0" applyAlignment="1" applyBorder="1" applyFill="1" applyFont="1">
      <alignment readingOrder="0"/>
    </xf>
    <xf borderId="5" fillId="7" fontId="3" numFmtId="0" xfId="0" applyAlignment="1" applyBorder="1" applyFill="1" applyFont="1">
      <alignment readingOrder="0"/>
    </xf>
    <xf borderId="7" fillId="8" fontId="3" numFmtId="0" xfId="0" applyAlignment="1" applyBorder="1" applyFill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/>
      <c r="M2" s="11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0"/>
      <c r="M3" s="11" t="s">
        <v>36</v>
      </c>
    </row>
    <row r="4">
      <c r="A4" s="9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0"/>
      <c r="M4" s="11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0" t="s">
        <v>57</v>
      </c>
      <c r="J5" s="10" t="s">
        <v>58</v>
      </c>
      <c r="K5" s="10" t="s">
        <v>59</v>
      </c>
      <c r="L5" s="10"/>
      <c r="M5" s="11" t="s">
        <v>60</v>
      </c>
    </row>
    <row r="6">
      <c r="A6" s="9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  <c r="G6" s="10" t="s">
        <v>67</v>
      </c>
      <c r="H6" s="10" t="s">
        <v>68</v>
      </c>
      <c r="I6" s="10" t="s">
        <v>69</v>
      </c>
      <c r="J6" s="10" t="s">
        <v>70</v>
      </c>
      <c r="K6" s="10" t="s">
        <v>71</v>
      </c>
      <c r="L6" s="10"/>
      <c r="M6" s="11" t="s">
        <v>72</v>
      </c>
    </row>
    <row r="7">
      <c r="A7" s="9" t="s">
        <v>73</v>
      </c>
      <c r="B7" s="10" t="s">
        <v>74</v>
      </c>
      <c r="C7" s="10" t="s">
        <v>75</v>
      </c>
      <c r="D7" s="10" t="s">
        <v>76</v>
      </c>
      <c r="E7" s="10" t="s">
        <v>77</v>
      </c>
      <c r="F7" s="10" t="s">
        <v>78</v>
      </c>
      <c r="G7" s="10" t="s">
        <v>79</v>
      </c>
      <c r="H7" s="10" t="s">
        <v>80</v>
      </c>
      <c r="I7" s="10" t="s">
        <v>81</v>
      </c>
      <c r="J7" s="10" t="s">
        <v>82</v>
      </c>
      <c r="K7" s="10" t="s">
        <v>83</v>
      </c>
      <c r="L7" s="10"/>
      <c r="M7" s="11" t="s">
        <v>84</v>
      </c>
    </row>
    <row r="8">
      <c r="A8" s="9" t="s">
        <v>85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10" t="s">
        <v>92</v>
      </c>
      <c r="I8" s="10" t="s">
        <v>93</v>
      </c>
      <c r="J8" s="10" t="s">
        <v>94</v>
      </c>
      <c r="K8" s="12"/>
      <c r="L8" s="10"/>
      <c r="M8" s="13" t="s">
        <v>95</v>
      </c>
    </row>
    <row r="9">
      <c r="A9" s="14" t="s">
        <v>96</v>
      </c>
      <c r="B9" s="10" t="s">
        <v>97</v>
      </c>
      <c r="C9" s="10" t="s">
        <v>98</v>
      </c>
      <c r="D9" s="10" t="s">
        <v>99</v>
      </c>
      <c r="E9" s="15" t="s">
        <v>100</v>
      </c>
      <c r="F9" s="15" t="s">
        <v>101</v>
      </c>
      <c r="G9" s="15" t="s">
        <v>102</v>
      </c>
      <c r="H9" s="15" t="s">
        <v>103</v>
      </c>
      <c r="I9" s="15" t="s">
        <v>104</v>
      </c>
      <c r="J9" s="15" t="s">
        <v>105</v>
      </c>
      <c r="K9" s="12" t="s">
        <v>106</v>
      </c>
      <c r="L9" s="12"/>
      <c r="M9" s="16" t="s">
        <v>107</v>
      </c>
    </row>
    <row r="11">
      <c r="F11" s="17" t="s">
        <v>108</v>
      </c>
      <c r="H11" s="18" t="s">
        <v>109</v>
      </c>
    </row>
    <row r="12">
      <c r="A12" s="19" t="s">
        <v>110</v>
      </c>
      <c r="B12" s="20"/>
      <c r="C12" s="21" t="s">
        <v>111</v>
      </c>
      <c r="F12" s="22" t="s">
        <v>112</v>
      </c>
      <c r="G12" s="23"/>
      <c r="H12" s="23"/>
      <c r="I12" s="23"/>
      <c r="J12" s="24"/>
    </row>
    <row r="13">
      <c r="F13" s="25" t="s">
        <v>113</v>
      </c>
      <c r="I13" s="26"/>
      <c r="J13" s="16" t="b">
        <v>1</v>
      </c>
    </row>
    <row r="14">
      <c r="A14" s="22" t="s">
        <v>114</v>
      </c>
      <c r="B14" s="23"/>
      <c r="C14" s="24"/>
      <c r="F14" s="27" t="s">
        <v>115</v>
      </c>
      <c r="G14" s="28"/>
      <c r="H14" s="28"/>
      <c r="I14" s="29"/>
      <c r="J14" s="30" t="b">
        <v>1</v>
      </c>
    </row>
    <row r="15">
      <c r="A15" s="31" t="s">
        <v>116</v>
      </c>
      <c r="B15" s="32" t="s">
        <v>117</v>
      </c>
      <c r="C15" s="33" t="s">
        <v>118</v>
      </c>
      <c r="F15" s="27" t="s">
        <v>119</v>
      </c>
      <c r="G15" s="28"/>
      <c r="H15" s="28"/>
      <c r="I15" s="29"/>
      <c r="J15" s="30" t="b">
        <v>1</v>
      </c>
    </row>
    <row r="16">
      <c r="A16" s="34"/>
      <c r="B16" s="35"/>
      <c r="C16" s="36"/>
      <c r="F16" s="27" t="s">
        <v>120</v>
      </c>
      <c r="G16" s="28"/>
      <c r="H16" s="28"/>
      <c r="I16" s="29"/>
      <c r="J16" s="30" t="b">
        <v>1</v>
      </c>
    </row>
    <row r="17">
      <c r="A17" s="34" t="s">
        <v>121</v>
      </c>
      <c r="B17" s="35" t="s">
        <v>122</v>
      </c>
      <c r="C17" s="37" t="s">
        <v>123</v>
      </c>
      <c r="F17" s="27" t="s">
        <v>124</v>
      </c>
      <c r="G17" s="28"/>
      <c r="H17" s="28"/>
      <c r="I17" s="29"/>
      <c r="J17" s="30" t="b">
        <v>1</v>
      </c>
    </row>
    <row r="18">
      <c r="A18" s="34" t="s">
        <v>125</v>
      </c>
      <c r="B18" s="35" t="s">
        <v>122</v>
      </c>
      <c r="C18" s="38" t="s">
        <v>126</v>
      </c>
      <c r="F18" s="27" t="s">
        <v>127</v>
      </c>
      <c r="G18" s="28"/>
      <c r="H18" s="28"/>
      <c r="I18" s="29"/>
      <c r="J18" s="30" t="b">
        <v>1</v>
      </c>
    </row>
    <row r="19">
      <c r="A19" s="34" t="s">
        <v>128</v>
      </c>
      <c r="B19" s="35" t="s">
        <v>122</v>
      </c>
      <c r="C19" s="38">
        <v>234091.0</v>
      </c>
      <c r="F19" s="27" t="s">
        <v>129</v>
      </c>
      <c r="G19" s="28"/>
      <c r="H19" s="28"/>
      <c r="I19" s="29"/>
      <c r="J19" s="30" t="b">
        <v>1</v>
      </c>
    </row>
    <row r="20">
      <c r="A20" s="34" t="s">
        <v>130</v>
      </c>
      <c r="B20" s="35" t="s">
        <v>122</v>
      </c>
      <c r="C20" s="38" t="s">
        <v>131</v>
      </c>
      <c r="F20" s="27" t="s">
        <v>132</v>
      </c>
      <c r="G20" s="28"/>
      <c r="H20" s="28"/>
      <c r="I20" s="29"/>
      <c r="J20" s="30" t="b">
        <v>1</v>
      </c>
    </row>
    <row r="21">
      <c r="A21" s="34" t="s">
        <v>133</v>
      </c>
      <c r="B21" s="35" t="s">
        <v>122</v>
      </c>
      <c r="C21" s="38">
        <v>2937190.0</v>
      </c>
      <c r="F21" s="27" t="s">
        <v>134</v>
      </c>
      <c r="G21" s="28"/>
      <c r="H21" s="28"/>
      <c r="I21" s="29"/>
      <c r="J21" s="30" t="b">
        <v>1</v>
      </c>
    </row>
    <row r="22">
      <c r="A22" s="34" t="s">
        <v>135</v>
      </c>
      <c r="B22" s="35" t="s">
        <v>122</v>
      </c>
      <c r="C22" s="38" t="s">
        <v>136</v>
      </c>
      <c r="F22" s="27" t="s">
        <v>137</v>
      </c>
      <c r="G22" s="28"/>
      <c r="H22" s="28"/>
      <c r="I22" s="29"/>
      <c r="J22" s="30" t="b">
        <v>1</v>
      </c>
    </row>
    <row r="23">
      <c r="A23" s="34" t="s">
        <v>138</v>
      </c>
      <c r="B23" s="35" t="s">
        <v>122</v>
      </c>
      <c r="C23" s="38" t="s">
        <v>139</v>
      </c>
      <c r="F23" s="27" t="s">
        <v>140</v>
      </c>
      <c r="G23" s="28"/>
      <c r="H23" s="28"/>
      <c r="I23" s="29"/>
      <c r="J23" s="39" t="b">
        <v>0</v>
      </c>
    </row>
    <row r="24">
      <c r="A24" s="34" t="s">
        <v>141</v>
      </c>
      <c r="B24" s="35" t="s">
        <v>122</v>
      </c>
      <c r="C24" s="38" t="s">
        <v>142</v>
      </c>
      <c r="F24" s="27" t="s">
        <v>143</v>
      </c>
      <c r="G24" s="28"/>
      <c r="H24" s="28"/>
      <c r="I24" s="29"/>
      <c r="J24" s="39" t="b">
        <v>0</v>
      </c>
    </row>
    <row r="25">
      <c r="A25" s="40" t="s">
        <v>144</v>
      </c>
      <c r="B25" s="41" t="s">
        <v>122</v>
      </c>
      <c r="C25" s="42" t="s">
        <v>145</v>
      </c>
      <c r="F25" s="43" t="s">
        <v>146</v>
      </c>
      <c r="G25" s="44"/>
      <c r="H25" s="44"/>
      <c r="I25" s="45"/>
      <c r="J25" s="46" t="b">
        <v>0</v>
      </c>
    </row>
    <row r="26">
      <c r="A26" s="47"/>
      <c r="B26" s="48"/>
      <c r="C26" s="47"/>
    </row>
    <row r="28" ht="50.25" customHeight="1">
      <c r="A28" s="49" t="s">
        <v>147</v>
      </c>
      <c r="B28" s="28"/>
      <c r="C28" s="29"/>
      <c r="F28" s="50" t="s">
        <v>148</v>
      </c>
      <c r="G28" s="51"/>
      <c r="H28" s="51"/>
      <c r="I28" s="51"/>
      <c r="J28" s="51"/>
      <c r="K28" s="51"/>
      <c r="L28" s="51"/>
      <c r="M28" s="52"/>
    </row>
    <row r="29" ht="23.25" customHeight="1">
      <c r="A29" s="53" t="s">
        <v>149</v>
      </c>
      <c r="B29" s="54">
        <f>COUNTA($B$2:$L$9,$M$9)</f>
        <v>80</v>
      </c>
      <c r="C29" s="55" t="s">
        <v>150</v>
      </c>
      <c r="F29" s="56"/>
      <c r="G29" s="57"/>
      <c r="H29" s="57"/>
      <c r="I29" s="57"/>
      <c r="J29" s="57"/>
      <c r="K29" s="57"/>
      <c r="L29" s="57"/>
      <c r="M29" s="58"/>
    </row>
    <row r="30">
      <c r="A30" s="53" t="s">
        <v>151</v>
      </c>
      <c r="B30" s="59">
        <v>1.2</v>
      </c>
      <c r="C30" s="55" t="s">
        <v>152</v>
      </c>
      <c r="F30" s="60"/>
      <c r="M30" s="61"/>
    </row>
    <row r="31">
      <c r="A31" s="62"/>
      <c r="B31" s="62"/>
      <c r="C31" s="63"/>
      <c r="F31" s="60"/>
      <c r="M31" s="61"/>
    </row>
    <row r="32">
      <c r="A32" s="64" t="s">
        <v>153</v>
      </c>
      <c r="B32" s="23"/>
      <c r="C32" s="24"/>
      <c r="F32" s="60"/>
      <c r="M32" s="61"/>
    </row>
    <row r="33">
      <c r="A33" s="65" t="s">
        <v>154</v>
      </c>
      <c r="B33" s="66" t="s">
        <v>155</v>
      </c>
      <c r="C33" s="67" t="s">
        <v>156</v>
      </c>
      <c r="D33" s="68" t="s">
        <v>157</v>
      </c>
      <c r="F33" s="60"/>
      <c r="M33" s="61"/>
    </row>
    <row r="34">
      <c r="A34" s="69" t="s">
        <v>158</v>
      </c>
      <c r="B34" s="70">
        <v>60.0</v>
      </c>
      <c r="C34" s="71">
        <f t="shared" ref="C34:C37" si="1">B34*$B$29*$B$30</f>
        <v>5760</v>
      </c>
      <c r="D34" s="15" t="b">
        <v>1</v>
      </c>
      <c r="F34" s="60"/>
      <c r="M34" s="61"/>
    </row>
    <row r="35">
      <c r="A35" s="69" t="s">
        <v>133</v>
      </c>
      <c r="B35" s="70">
        <v>1.0</v>
      </c>
      <c r="C35" s="71">
        <f t="shared" si="1"/>
        <v>96</v>
      </c>
      <c r="D35" s="15" t="b">
        <v>1</v>
      </c>
      <c r="F35" s="60"/>
      <c r="M35" s="61"/>
    </row>
    <row r="36">
      <c r="A36" s="69" t="s">
        <v>159</v>
      </c>
      <c r="B36" s="70">
        <v>70.0</v>
      </c>
      <c r="C36" s="71">
        <f t="shared" si="1"/>
        <v>6720</v>
      </c>
      <c r="D36" s="15" t="b">
        <v>1</v>
      </c>
      <c r="F36" s="60"/>
      <c r="M36" s="61"/>
    </row>
    <row r="37">
      <c r="A37" s="72" t="s">
        <v>160</v>
      </c>
      <c r="B37" s="73">
        <f>sum(B34:B36)</f>
        <v>131</v>
      </c>
      <c r="C37" s="71">
        <f t="shared" si="1"/>
        <v>12576</v>
      </c>
      <c r="F37" s="60"/>
      <c r="M37" s="61"/>
    </row>
    <row r="38">
      <c r="A38" s="74" t="s">
        <v>161</v>
      </c>
      <c r="B38" s="48">
        <v>8.0</v>
      </c>
      <c r="C38" s="75">
        <f>C37/B38</f>
        <v>1572</v>
      </c>
      <c r="F38" s="60"/>
      <c r="M38" s="61"/>
    </row>
    <row r="39">
      <c r="A39" s="76"/>
      <c r="B39" s="47"/>
      <c r="C39" s="75"/>
      <c r="F39" s="60"/>
      <c r="M39" s="61"/>
    </row>
    <row r="40">
      <c r="A40" s="77" t="s">
        <v>162</v>
      </c>
      <c r="B40" s="78" t="s">
        <v>155</v>
      </c>
      <c r="C40" s="79" t="s">
        <v>156</v>
      </c>
      <c r="F40" s="60"/>
      <c r="M40" s="61"/>
    </row>
    <row r="41">
      <c r="A41" s="80" t="s">
        <v>163</v>
      </c>
      <c r="B41" s="81">
        <v>5.0</v>
      </c>
      <c r="C41" s="71">
        <f t="shared" ref="C41:C43" si="2">B41*$B$29*$B$30</f>
        <v>480</v>
      </c>
      <c r="D41" s="15" t="b">
        <v>1</v>
      </c>
      <c r="F41" s="60"/>
      <c r="M41" s="61"/>
    </row>
    <row r="42">
      <c r="A42" s="80" t="s">
        <v>164</v>
      </c>
      <c r="B42" s="81">
        <v>5.0</v>
      </c>
      <c r="C42" s="71">
        <f t="shared" si="2"/>
        <v>480</v>
      </c>
      <c r="D42" s="15" t="b">
        <v>1</v>
      </c>
      <c r="F42" s="60"/>
      <c r="M42" s="61"/>
    </row>
    <row r="43">
      <c r="A43" s="82" t="s">
        <v>160</v>
      </c>
      <c r="B43" s="83">
        <f>sum(B41:B42)</f>
        <v>10</v>
      </c>
      <c r="C43" s="71">
        <f t="shared" si="2"/>
        <v>960</v>
      </c>
      <c r="D43" s="15" t="b">
        <v>1</v>
      </c>
      <c r="F43" s="60"/>
      <c r="M43" s="61"/>
    </row>
    <row r="44">
      <c r="A44" s="84" t="s">
        <v>161</v>
      </c>
      <c r="B44" s="85">
        <v>8.0</v>
      </c>
      <c r="C44" s="86">
        <f>C43/B44</f>
        <v>120</v>
      </c>
      <c r="F44" s="60"/>
      <c r="M44" s="61"/>
    </row>
    <row r="45">
      <c r="F45" s="87" t="s">
        <v>165</v>
      </c>
      <c r="G45" s="88"/>
      <c r="H45" s="88"/>
      <c r="I45" s="88"/>
      <c r="J45" s="88"/>
      <c r="K45" s="88"/>
      <c r="L45" s="88"/>
      <c r="M45" s="89"/>
    </row>
    <row r="46">
      <c r="A46" s="90" t="s">
        <v>166</v>
      </c>
      <c r="B46" s="90" t="s">
        <v>167</v>
      </c>
      <c r="C46" s="90" t="s">
        <v>168</v>
      </c>
    </row>
    <row r="47">
      <c r="A47" s="91" t="s">
        <v>169</v>
      </c>
      <c r="B47" s="92">
        <v>200.0</v>
      </c>
      <c r="C47" s="93">
        <f>2*B47*$B$29*$B$30</f>
        <v>38400</v>
      </c>
      <c r="D47" s="15" t="b">
        <v>1</v>
      </c>
    </row>
    <row r="48">
      <c r="A48" s="91" t="s">
        <v>141</v>
      </c>
      <c r="B48" s="92">
        <v>200.0</v>
      </c>
      <c r="C48" s="93">
        <f t="shared" ref="C48:C49" si="3">B48*$B$29*$B$30</f>
        <v>19200</v>
      </c>
      <c r="D48" s="15" t="b">
        <v>1</v>
      </c>
    </row>
    <row r="49">
      <c r="A49" s="94" t="s">
        <v>170</v>
      </c>
      <c r="B49" s="93">
        <v>50.0</v>
      </c>
      <c r="C49" s="93">
        <f t="shared" si="3"/>
        <v>4800</v>
      </c>
      <c r="D49" s="15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171</v>
      </c>
      <c r="C2" s="10" t="s">
        <v>172</v>
      </c>
      <c r="D2" s="10" t="s">
        <v>173</v>
      </c>
      <c r="E2" s="10" t="s">
        <v>174</v>
      </c>
      <c r="F2" s="10" t="s">
        <v>175</v>
      </c>
      <c r="G2" s="10" t="s">
        <v>176</v>
      </c>
      <c r="H2" s="10" t="s">
        <v>20</v>
      </c>
      <c r="I2" s="10" t="s">
        <v>21</v>
      </c>
      <c r="J2" s="10" t="s">
        <v>22</v>
      </c>
      <c r="K2" s="10" t="s">
        <v>23</v>
      </c>
      <c r="L2" s="10"/>
      <c r="M2" s="95" t="s">
        <v>24</v>
      </c>
    </row>
    <row r="3">
      <c r="A3" s="9" t="s">
        <v>25</v>
      </c>
      <c r="B3" s="10" t="s">
        <v>177</v>
      </c>
      <c r="C3" s="10" t="s">
        <v>178</v>
      </c>
      <c r="D3" s="10" t="s">
        <v>179</v>
      </c>
      <c r="E3" s="10" t="s">
        <v>180</v>
      </c>
      <c r="F3" s="10" t="s">
        <v>181</v>
      </c>
      <c r="G3" s="10" t="s">
        <v>182</v>
      </c>
      <c r="H3" s="10" t="s">
        <v>32</v>
      </c>
      <c r="I3" s="10" t="s">
        <v>33</v>
      </c>
      <c r="J3" s="10" t="s">
        <v>34</v>
      </c>
      <c r="K3" s="10" t="s">
        <v>35</v>
      </c>
      <c r="L3" s="10"/>
      <c r="M3" s="96" t="s">
        <v>36</v>
      </c>
    </row>
    <row r="4">
      <c r="A4" s="9" t="s">
        <v>37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G4" s="10" t="s">
        <v>188</v>
      </c>
      <c r="H4" s="10" t="s">
        <v>44</v>
      </c>
      <c r="I4" s="10" t="s">
        <v>45</v>
      </c>
      <c r="J4" s="10" t="s">
        <v>46</v>
      </c>
      <c r="K4" s="10" t="s">
        <v>47</v>
      </c>
      <c r="L4" s="10"/>
      <c r="M4" s="97" t="s">
        <v>48</v>
      </c>
    </row>
    <row r="5">
      <c r="A5" s="9" t="s">
        <v>49</v>
      </c>
      <c r="B5" s="10" t="s">
        <v>189</v>
      </c>
      <c r="C5" s="10" t="s">
        <v>190</v>
      </c>
      <c r="D5" s="10" t="s">
        <v>191</v>
      </c>
      <c r="E5" s="10" t="s">
        <v>192</v>
      </c>
      <c r="F5" s="10" t="s">
        <v>193</v>
      </c>
      <c r="G5" s="10" t="s">
        <v>194</v>
      </c>
      <c r="H5" s="10" t="s">
        <v>56</v>
      </c>
      <c r="I5" s="10" t="s">
        <v>57</v>
      </c>
      <c r="J5" s="10" t="s">
        <v>58</v>
      </c>
      <c r="K5" s="10" t="s">
        <v>59</v>
      </c>
      <c r="L5" s="10"/>
      <c r="M5" s="95" t="s">
        <v>60</v>
      </c>
    </row>
    <row r="6">
      <c r="A6" s="9" t="s">
        <v>61</v>
      </c>
      <c r="B6" s="10" t="s">
        <v>195</v>
      </c>
      <c r="C6" s="10" t="s">
        <v>196</v>
      </c>
      <c r="D6" s="10" t="s">
        <v>197</v>
      </c>
      <c r="E6" s="10" t="s">
        <v>198</v>
      </c>
      <c r="F6" s="10" t="s">
        <v>199</v>
      </c>
      <c r="G6" s="10" t="s">
        <v>200</v>
      </c>
      <c r="H6" s="10" t="s">
        <v>68</v>
      </c>
      <c r="I6" s="10" t="s">
        <v>69</v>
      </c>
      <c r="J6" s="10" t="s">
        <v>70</v>
      </c>
      <c r="K6" s="10" t="s">
        <v>71</v>
      </c>
      <c r="L6" s="10"/>
      <c r="M6" s="96" t="s">
        <v>72</v>
      </c>
    </row>
    <row r="7">
      <c r="A7" s="9" t="s">
        <v>73</v>
      </c>
      <c r="B7" s="10" t="s">
        <v>201</v>
      </c>
      <c r="C7" s="10" t="s">
        <v>202</v>
      </c>
      <c r="D7" s="10" t="s">
        <v>203</v>
      </c>
      <c r="E7" s="10" t="s">
        <v>204</v>
      </c>
      <c r="F7" s="10" t="s">
        <v>205</v>
      </c>
      <c r="G7" s="10" t="s">
        <v>206</v>
      </c>
      <c r="H7" s="10" t="s">
        <v>80</v>
      </c>
      <c r="I7" s="10" t="s">
        <v>81</v>
      </c>
      <c r="J7" s="10" t="s">
        <v>82</v>
      </c>
      <c r="K7" s="10" t="s">
        <v>83</v>
      </c>
      <c r="L7" s="10"/>
      <c r="M7" s="97" t="s">
        <v>84</v>
      </c>
    </row>
    <row r="8">
      <c r="A8" s="9" t="s">
        <v>85</v>
      </c>
      <c r="B8" s="10" t="s">
        <v>207</v>
      </c>
      <c r="C8" s="10" t="s">
        <v>208</v>
      </c>
      <c r="D8" s="10" t="s">
        <v>209</v>
      </c>
      <c r="E8" s="10" t="s">
        <v>210</v>
      </c>
      <c r="F8" s="10" t="s">
        <v>211</v>
      </c>
      <c r="G8" s="10" t="s">
        <v>212</v>
      </c>
      <c r="H8" s="10" t="s">
        <v>92</v>
      </c>
      <c r="I8" s="10" t="s">
        <v>93</v>
      </c>
      <c r="J8" s="10" t="s">
        <v>94</v>
      </c>
      <c r="K8" s="12" t="s">
        <v>213</v>
      </c>
      <c r="L8" s="10"/>
      <c r="M8" s="10" t="s">
        <v>214</v>
      </c>
    </row>
    <row r="9">
      <c r="A9" s="14" t="s">
        <v>96</v>
      </c>
      <c r="B9" s="10" t="s">
        <v>215</v>
      </c>
      <c r="C9" s="10" t="s">
        <v>216</v>
      </c>
      <c r="D9" s="10" t="s">
        <v>217</v>
      </c>
      <c r="E9" s="15" t="s">
        <v>218</v>
      </c>
      <c r="F9" s="15" t="s">
        <v>219</v>
      </c>
      <c r="G9" s="15" t="s">
        <v>102</v>
      </c>
      <c r="H9" s="15" t="s">
        <v>103</v>
      </c>
      <c r="I9" s="15" t="s">
        <v>104</v>
      </c>
      <c r="J9" s="15" t="s">
        <v>105</v>
      </c>
      <c r="K9" s="12" t="s">
        <v>106</v>
      </c>
      <c r="L9" s="12"/>
      <c r="M9" s="98" t="s">
        <v>220</v>
      </c>
    </row>
    <row r="11">
      <c r="A11" s="19" t="s">
        <v>110</v>
      </c>
      <c r="B11" s="20"/>
      <c r="C11" s="21" t="s">
        <v>111</v>
      </c>
    </row>
    <row r="13">
      <c r="E13" s="17" t="s">
        <v>108</v>
      </c>
      <c r="G13" s="18" t="s">
        <v>221</v>
      </c>
    </row>
    <row r="14">
      <c r="A14" s="99" t="s">
        <v>114</v>
      </c>
      <c r="B14" s="23"/>
      <c r="C14" s="24"/>
      <c r="E14" s="99" t="s">
        <v>112</v>
      </c>
      <c r="F14" s="23"/>
      <c r="G14" s="23"/>
      <c r="H14" s="23"/>
      <c r="I14" s="24"/>
    </row>
    <row r="15">
      <c r="A15" s="31" t="s">
        <v>116</v>
      </c>
      <c r="B15" s="32" t="s">
        <v>117</v>
      </c>
      <c r="C15" s="33" t="s">
        <v>118</v>
      </c>
      <c r="E15" s="100" t="s">
        <v>222</v>
      </c>
      <c r="F15" s="28"/>
      <c r="G15" s="28"/>
      <c r="H15" s="29"/>
      <c r="I15" s="101" t="b">
        <v>1</v>
      </c>
    </row>
    <row r="16">
      <c r="A16" s="102" t="s">
        <v>223</v>
      </c>
      <c r="B16" s="35" t="s">
        <v>122</v>
      </c>
      <c r="C16" s="103" t="s">
        <v>123</v>
      </c>
      <c r="E16" s="100" t="s">
        <v>224</v>
      </c>
      <c r="F16" s="28"/>
      <c r="G16" s="28"/>
      <c r="H16" s="29"/>
      <c r="I16" s="101" t="b">
        <v>1</v>
      </c>
    </row>
    <row r="17">
      <c r="A17" s="102" t="s">
        <v>225</v>
      </c>
      <c r="B17" s="35" t="s">
        <v>122</v>
      </c>
      <c r="C17" s="103" t="s">
        <v>226</v>
      </c>
      <c r="E17" s="100" t="s">
        <v>227</v>
      </c>
      <c r="F17" s="28"/>
      <c r="G17" s="28"/>
      <c r="H17" s="29"/>
      <c r="I17" s="101" t="b">
        <v>1</v>
      </c>
    </row>
    <row r="18">
      <c r="A18" s="102" t="s">
        <v>228</v>
      </c>
      <c r="B18" s="35" t="s">
        <v>122</v>
      </c>
      <c r="C18" s="103" t="s">
        <v>123</v>
      </c>
      <c r="E18" s="100" t="s">
        <v>229</v>
      </c>
      <c r="F18" s="28"/>
      <c r="G18" s="28"/>
      <c r="H18" s="29"/>
      <c r="I18" s="101" t="b">
        <v>1</v>
      </c>
    </row>
    <row r="19">
      <c r="A19" s="40" t="s">
        <v>230</v>
      </c>
      <c r="B19" s="41" t="s">
        <v>122</v>
      </c>
      <c r="C19" s="104" t="s">
        <v>231</v>
      </c>
      <c r="E19" s="100" t="s">
        <v>232</v>
      </c>
      <c r="F19" s="28"/>
      <c r="G19" s="28"/>
      <c r="H19" s="29"/>
      <c r="I19" s="101" t="b">
        <v>1</v>
      </c>
    </row>
    <row r="20">
      <c r="A20" s="47"/>
      <c r="B20" s="47"/>
      <c r="C20" s="47"/>
      <c r="E20" s="100" t="s">
        <v>233</v>
      </c>
      <c r="F20" s="28"/>
      <c r="G20" s="28"/>
      <c r="H20" s="29"/>
      <c r="I20" s="105" t="b">
        <v>1</v>
      </c>
    </row>
    <row r="21">
      <c r="A21" s="47"/>
      <c r="B21" s="47"/>
      <c r="C21" s="47"/>
      <c r="E21" s="106"/>
    </row>
    <row r="22">
      <c r="A22" s="107" t="s">
        <v>147</v>
      </c>
      <c r="B22" s="28"/>
      <c r="C22" s="29"/>
      <c r="E22" s="50" t="s">
        <v>148</v>
      </c>
      <c r="F22" s="51"/>
      <c r="G22" s="51"/>
      <c r="H22" s="51"/>
      <c r="I22" s="51"/>
      <c r="J22" s="51"/>
      <c r="K22" s="51"/>
      <c r="L22" s="52"/>
    </row>
    <row r="23" ht="42.75" customHeight="1">
      <c r="A23" s="53" t="s">
        <v>149</v>
      </c>
      <c r="B23" s="54">
        <f>COUNTA($B$2:$M$9)</f>
        <v>88</v>
      </c>
      <c r="C23" s="55" t="s">
        <v>234</v>
      </c>
      <c r="E23" s="108" t="s">
        <v>235</v>
      </c>
      <c r="F23" s="57"/>
      <c r="G23" s="57"/>
      <c r="H23" s="57"/>
      <c r="I23" s="57"/>
      <c r="J23" s="57"/>
      <c r="K23" s="57"/>
      <c r="L23" s="58"/>
    </row>
    <row r="24" ht="59.25" customHeight="1">
      <c r="A24" s="53" t="s">
        <v>151</v>
      </c>
      <c r="B24" s="59">
        <v>1.2</v>
      </c>
      <c r="C24" s="55" t="s">
        <v>152</v>
      </c>
      <c r="E24" s="60"/>
      <c r="L24" s="61"/>
    </row>
    <row r="25">
      <c r="E25" s="60"/>
      <c r="L25" s="61"/>
    </row>
    <row r="26">
      <c r="E26" s="60"/>
      <c r="L26" s="61"/>
    </row>
    <row r="27">
      <c r="A27" s="109" t="s">
        <v>153</v>
      </c>
      <c r="B27" s="23"/>
      <c r="C27" s="24"/>
      <c r="E27" s="60"/>
      <c r="L27" s="61"/>
    </row>
    <row r="28">
      <c r="A28" s="65" t="s">
        <v>236</v>
      </c>
      <c r="B28" s="66" t="s">
        <v>155</v>
      </c>
      <c r="C28" s="67" t="s">
        <v>156</v>
      </c>
      <c r="E28" s="60"/>
      <c r="L28" s="61"/>
    </row>
    <row r="29">
      <c r="A29" s="110" t="s">
        <v>225</v>
      </c>
      <c r="B29" s="111">
        <v>10.0</v>
      </c>
      <c r="C29" s="71">
        <f t="shared" ref="C29:C31" si="1">B29*$B$23*$B$24</f>
        <v>1056</v>
      </c>
      <c r="E29" s="60"/>
      <c r="L29" s="61"/>
    </row>
    <row r="30">
      <c r="A30" s="110" t="s">
        <v>237</v>
      </c>
      <c r="B30" s="111">
        <v>4.0</v>
      </c>
      <c r="C30" s="71">
        <f t="shared" si="1"/>
        <v>422.4</v>
      </c>
      <c r="E30" s="60"/>
      <c r="L30" s="61"/>
    </row>
    <row r="31">
      <c r="A31" s="110" t="s">
        <v>238</v>
      </c>
      <c r="B31" s="111">
        <v>1.0</v>
      </c>
      <c r="C31" s="71">
        <f t="shared" si="1"/>
        <v>105.6</v>
      </c>
      <c r="E31" s="60"/>
      <c r="L31" s="61"/>
    </row>
    <row r="32">
      <c r="A32" s="72" t="s">
        <v>160</v>
      </c>
      <c r="B32" s="112">
        <f t="shared" ref="B32:C32" si="2">sum(B29:B31)</f>
        <v>15</v>
      </c>
      <c r="C32" s="71">
        <f t="shared" si="2"/>
        <v>1584</v>
      </c>
      <c r="E32" s="60"/>
      <c r="L32" s="61"/>
    </row>
    <row r="33">
      <c r="A33" s="84" t="s">
        <v>161</v>
      </c>
      <c r="B33" s="85">
        <v>8.0</v>
      </c>
      <c r="C33" s="86">
        <f>C32/B33</f>
        <v>198</v>
      </c>
      <c r="E33" s="60"/>
      <c r="L33" s="61"/>
    </row>
    <row r="34">
      <c r="E34" s="60"/>
      <c r="L34" s="61"/>
    </row>
    <row r="35">
      <c r="E35" s="60"/>
      <c r="L35" s="61"/>
    </row>
    <row r="36">
      <c r="E36" s="60"/>
      <c r="L36" s="61"/>
    </row>
    <row r="37">
      <c r="E37" s="60"/>
      <c r="L37" s="61"/>
    </row>
    <row r="38">
      <c r="E38" s="60"/>
      <c r="L38" s="61"/>
    </row>
    <row r="39">
      <c r="A39" s="47"/>
      <c r="B39" s="47"/>
      <c r="C39" s="47"/>
      <c r="E39" s="87" t="s">
        <v>165</v>
      </c>
      <c r="F39" s="88"/>
      <c r="G39" s="88"/>
      <c r="H39" s="88"/>
      <c r="I39" s="88"/>
      <c r="J39" s="88"/>
      <c r="K39" s="88"/>
      <c r="L39" s="89"/>
    </row>
    <row r="40">
      <c r="A40" s="47"/>
      <c r="B40" s="47"/>
      <c r="C40" s="47"/>
    </row>
    <row r="41">
      <c r="A41" s="113"/>
      <c r="B41" s="114"/>
      <c r="C41" s="113"/>
    </row>
    <row r="42">
      <c r="A42" s="115"/>
      <c r="B42" s="116"/>
      <c r="C42" s="117"/>
    </row>
    <row r="43">
      <c r="A43" s="115"/>
      <c r="B43" s="116"/>
      <c r="C43" s="117"/>
    </row>
    <row r="44">
      <c r="A44" s="114"/>
      <c r="B44" s="113"/>
      <c r="C44" s="117"/>
    </row>
    <row r="45">
      <c r="A45" s="47"/>
      <c r="B45" s="47"/>
      <c r="C45" s="47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
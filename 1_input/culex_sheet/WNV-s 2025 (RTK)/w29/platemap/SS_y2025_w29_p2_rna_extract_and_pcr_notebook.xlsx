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<sst xmlns="http://schemas.openxmlformats.org/spreadsheetml/2006/main" count="337" uniqueCount="200">
  <si>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</si>
  <si>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</si>
  <si>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</si>
  <si>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</si>
  <si>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</si>
  <si>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</si>
  <si>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</si>
  <si>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</si>
  <si>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</si>
  <si>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</si>
  <si>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</si>
  <si>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</si>
  <si>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</si>
  <si>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</si>
  <si>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CSU-23919</t>
  </si>
  <si>
    <t>CSU-23927</t>
  </si>
  <si>
    <t>CSU-23935</t>
  </si>
  <si>
    <t>CSU-23943</t>
  </si>
  <si>
    <t>CSU-23951</t>
  </si>
  <si>
    <t>CSU-23959</t>
  </si>
  <si>
    <t>CSU-23967</t>
  </si>
  <si>
    <t>CSU-23975</t>
  </si>
  <si>
    <t>CSU-23983</t>
  </si>
  <si>
    <t>CSU-23991</t>
  </si>
  <si>
    <t>BOU-00291</t>
  </si>
  <si>
    <t>RMRP-000756</t>
  </si>
  <si>
    <t>added in pcr*</t>
  </si>
  <si>
    <t>B</t>
  </si>
  <si>
    <t>CSU-23920</t>
  </si>
  <si>
    <t>CSU-23928</t>
  </si>
  <si>
    <t>CSU-23936</t>
  </si>
  <si>
    <t>CSU-23944</t>
  </si>
  <si>
    <t>CSU-23952</t>
  </si>
  <si>
    <t>CSU-23960</t>
  </si>
  <si>
    <t>CSU-23968</t>
  </si>
  <si>
    <t>CSU-23976</t>
  </si>
  <si>
    <t>CSU-23984</t>
  </si>
  <si>
    <t>CSU-23992</t>
  </si>
  <si>
    <t>RMRP-000747</t>
  </si>
  <si>
    <t>RMRP-000757</t>
  </si>
  <si>
    <t>C</t>
  </si>
  <si>
    <t>CSU-23921</t>
  </si>
  <si>
    <t>CSU-23929</t>
  </si>
  <si>
    <t>CSU-23937</t>
  </si>
  <si>
    <t>CSU-23945</t>
  </si>
  <si>
    <t>CSU-23953</t>
  </si>
  <si>
    <t>CSU-23961</t>
  </si>
  <si>
    <t>CSU-23969</t>
  </si>
  <si>
    <t>CSU-23977</t>
  </si>
  <si>
    <t>CSU-23985</t>
  </si>
  <si>
    <t>CSU-23993</t>
  </si>
  <si>
    <t>RMRP-000748</t>
  </si>
  <si>
    <t>RMRP-000758</t>
  </si>
  <si>
    <t>D</t>
  </si>
  <si>
    <t>CSU-23922</t>
  </si>
  <si>
    <t>CSU-23930</t>
  </si>
  <si>
    <t>CSU-23938</t>
  </si>
  <si>
    <t>CSU-23946</t>
  </si>
  <si>
    <t>CSU-23954</t>
  </si>
  <si>
    <t>CSU-23962</t>
  </si>
  <si>
    <t>CSU-23970</t>
  </si>
  <si>
    <t>CSU-23978</t>
  </si>
  <si>
    <t>CSU-23986</t>
  </si>
  <si>
    <t>CSU-23994</t>
  </si>
  <si>
    <t>RMRP-000751</t>
  </si>
  <si>
    <t>RMRP-000759</t>
  </si>
  <si>
    <t>E</t>
  </si>
  <si>
    <t>CSU-23923</t>
  </si>
  <si>
    <t>CSU-23931</t>
  </si>
  <si>
    <t>CSU-23939</t>
  </si>
  <si>
    <t>CSU-23947</t>
  </si>
  <si>
    <t>CSU-23955</t>
  </si>
  <si>
    <t>CSU-23963</t>
  </si>
  <si>
    <t>CSU-23971</t>
  </si>
  <si>
    <t>CSU-23979</t>
  </si>
  <si>
    <t>CSU-23987</t>
  </si>
  <si>
    <t>BOU-00287</t>
  </si>
  <si>
    <t>RMRP-000752</t>
  </si>
  <si>
    <t>RMRP-000760</t>
  </si>
  <si>
    <t>F</t>
  </si>
  <si>
    <t>CSU-23924</t>
  </si>
  <si>
    <t>CSU-23932</t>
  </si>
  <si>
    <t>CSU-23940</t>
  </si>
  <si>
    <t>CSU-23948</t>
  </si>
  <si>
    <t>CSU-23956</t>
  </si>
  <si>
    <t>CSU-23964</t>
  </si>
  <si>
    <t>CSU-23972</t>
  </si>
  <si>
    <t>CSU-23980</t>
  </si>
  <si>
    <t>CSU-23988</t>
  </si>
  <si>
    <t>BOU-00288</t>
  </si>
  <si>
    <t>RMRP-000753</t>
  </si>
  <si>
    <t>RMRP-000761</t>
  </si>
  <si>
    <t>G</t>
  </si>
  <si>
    <t>CSU-23925</t>
  </si>
  <si>
    <t>CSU-23933</t>
  </si>
  <si>
    <t>CSU-23941</t>
  </si>
  <si>
    <t>CSU-23949</t>
  </si>
  <si>
    <t>CSU-23957</t>
  </si>
  <si>
    <t>CSU-23965</t>
  </si>
  <si>
    <t>CSU-23973</t>
  </si>
  <si>
    <t>CSU-23981</t>
  </si>
  <si>
    <t>CSU-23989</t>
  </si>
  <si>
    <t>BOU-00289</t>
  </si>
  <si>
    <t>RMRP-000754</t>
  </si>
  <si>
    <t>RMRP-000762</t>
  </si>
  <si>
    <t>H</t>
  </si>
  <si>
    <t>CSU-23926</t>
  </si>
  <si>
    <t>CSU-23934</t>
  </si>
  <si>
    <t>CSU-23942</t>
  </si>
  <si>
    <t>CSU-23950</t>
  </si>
  <si>
    <t>CSU-23958</t>
  </si>
  <si>
    <t>CSU-23966</t>
  </si>
  <si>
    <t>CSU-23974</t>
  </si>
  <si>
    <t>CSU-23982</t>
  </si>
  <si>
    <t>CSU-23990</t>
  </si>
  <si>
    <t>BOU-00290</t>
  </si>
  <si>
    <t>RMRP-000755</t>
  </si>
  <si>
    <t>RMRP-000763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</si>
  <si>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</si>
  <si>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</si>
  <si>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</si>
  <si>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</si>
  <si>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</si>
  <si>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</si>
  <si>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</si>
  <si>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</si>
  <si>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</si>
  <si>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</si>
  <si>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</si>
  <si>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</si>
  <si>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</si>
  <si>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</si>
  <si>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</si>
  <si>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</si>
  <si>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</si>
  <si>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</si>
  <si>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</si>
  <si>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</si>
  <si>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</si>
  <si>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</si>
  <si>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</si>
  <si>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</si>
  <si>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</si>
  <si>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</si>
  <si>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</si>
  <si>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</si>
  <si>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</si>
  <si>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</si>
  <si>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</si>
  <si>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</si>
  <si>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</si>
  <si>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</si>
  <si>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</si>
  <si>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</si>
  <si>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</si>
  <si>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</si>
  <si>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</si>
  <si>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</si>
  <si>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</si>
  <si>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</si>
  <si>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</si>
  <si>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</si>
  <si>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</si>
  <si>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</si>
  <si>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</si>
  <si>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</si>
  <si>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</si>
  <si>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</si>
  <si>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</si>
  <si>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</si>
  <si>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</si>
  <si>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</si>
  <si>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</si>
  <si>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</si>
  <si>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</si>
  <si>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wnv_std_1e6</t>
  </si>
  <si>
    <t>wnv_std_1e4</t>
  </si>
  <si>
    <t>wnv_std_1e2</t>
  </si>
  <si>
    <t>slev_std_1e6</t>
  </si>
  <si>
    <t>slev_std_1e4</t>
  </si>
  <si>
    <t>slev_std_1e2</t>
  </si>
  <si>
    <t>neg pcr ctrl</t>
  </si>
  <si>
    <t>neg extract ctl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</si>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</sst>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B3E5A1"/>
        <bgColor rgb="FFB3E5A1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0" fillId="3" fontId="5" numFmtId="49" xfId="0" applyAlignment="1" applyFill="1" applyFont="1" applyNumberFormat="1">
      <alignment vertical="bottom"/>
    </xf>
    <xf borderId="0" fillId="3" fontId="5" numFmtId="49" xfId="0" applyAlignment="1" applyFont="1" applyNumberFormat="1">
      <alignment readingOrder="0" vertical="bottom"/>
    </xf>
    <xf borderId="5" fillId="0" fontId="6" numFmtId="0" xfId="0" applyAlignment="1" applyBorder="1" applyFont="1">
      <alignment horizontal="center" shrinkToFit="0" textRotation="90" vertical="bottom" wrapText="1"/>
    </xf>
    <xf borderId="6" fillId="0" fontId="7" numFmtId="0" xfId="0" applyBorder="1" applyFont="1"/>
    <xf borderId="7" fillId="0" fontId="7" numFmtId="0" xfId="0" applyBorder="1" applyFont="1"/>
    <xf borderId="8" fillId="2" fontId="4" numFmtId="0" xfId="0" applyAlignment="1" applyBorder="1" applyFont="1">
      <alignment readingOrder="0"/>
    </xf>
    <xf borderId="0" fillId="4" fontId="5" numFmtId="49" xfId="0" applyAlignment="1" applyFill="1" applyFont="1" applyNumberFormat="1">
      <alignment vertical="bottom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9" fillId="0" fontId="9" numFmtId="0" xfId="0" applyAlignment="1" applyBorder="1" applyFont="1">
      <alignment horizontal="center" readingOrder="0"/>
    </xf>
    <xf borderId="10" fillId="0" fontId="7" numFmtId="0" xfId="0" applyBorder="1" applyFont="1"/>
    <xf borderId="10" fillId="5" fontId="3" numFmtId="0" xfId="0" applyAlignment="1" applyBorder="1" applyFill="1" applyFont="1">
      <alignment readingOrder="0"/>
    </xf>
    <xf borderId="11" fillId="6" fontId="10" numFmtId="0" xfId="0" applyAlignment="1" applyBorder="1" applyFill="1" applyFont="1">
      <alignment horizontal="center" readingOrder="0"/>
    </xf>
    <xf borderId="12" fillId="0" fontId="7" numFmtId="0" xfId="0" applyBorder="1" applyFont="1"/>
    <xf borderId="13" fillId="0" fontId="7" numFmtId="0" xfId="0" applyBorder="1" applyFont="1"/>
    <xf borderId="4" fillId="0" fontId="3" numFmtId="0" xfId="0" applyAlignment="1" applyBorder="1" applyFont="1">
      <alignment readingOrder="0"/>
    </xf>
    <xf borderId="14" fillId="0" fontId="7" numFmtId="0" xfId="0" applyBorder="1" applyFont="1"/>
    <xf borderId="15" fillId="5" fontId="3" numFmtId="0" xfId="0" applyAlignment="1" applyBorder="1" applyFont="1">
      <alignment readingOrder="0"/>
    </xf>
    <xf borderId="16" fillId="0" fontId="3" numFmtId="0" xfId="0" applyAlignment="1" applyBorder="1" applyFont="1">
      <alignment readingOrder="0"/>
    </xf>
    <xf borderId="17" fillId="0" fontId="7" numFmtId="0" xfId="0" applyBorder="1" applyFont="1"/>
    <xf borderId="18" fillId="0" fontId="7" numFmtId="0" xfId="0" applyBorder="1" applyFont="1"/>
    <xf borderId="19" fillId="5" fontId="3" numFmtId="0" xfId="0" applyAlignment="1" applyBorder="1" applyFont="1">
      <alignment readingOrder="0"/>
    </xf>
    <xf borderId="20" fillId="0" fontId="11" numFmtId="0" xfId="0" applyAlignment="1" applyBorder="1" applyFont="1">
      <alignment horizontal="center" vertical="bottom"/>
    </xf>
    <xf borderId="21" fillId="0" fontId="11" numFmtId="0" xfId="0" applyAlignment="1" applyBorder="1" applyFont="1">
      <alignment readingOrder="0" vertical="bottom"/>
    </xf>
    <xf borderId="19" fillId="0" fontId="11" numFmtId="0" xfId="0" applyAlignment="1" applyBorder="1" applyFont="1">
      <alignment vertical="bottom"/>
    </xf>
    <xf borderId="20" fillId="0" fontId="12" numFmtId="0" xfId="0" applyAlignment="1" applyBorder="1" applyFont="1">
      <alignment vertical="bottom"/>
    </xf>
    <xf borderId="21" fillId="5" fontId="12" numFmtId="0" xfId="0" applyAlignment="1" applyBorder="1" applyFont="1">
      <alignment readingOrder="0" vertical="bottom"/>
    </xf>
    <xf borderId="19" fillId="5" fontId="12" numFmtId="0" xfId="0" applyAlignment="1" applyBorder="1" applyFont="1">
      <alignment horizontal="center" readingOrder="0" vertical="bottom"/>
    </xf>
    <xf borderId="19" fillId="5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5" fontId="12" numFmtId="0" xfId="0" applyAlignment="1" applyBorder="1" applyFont="1">
      <alignment readingOrder="0" vertical="bottom"/>
    </xf>
    <xf borderId="15" fillId="5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6" fontId="13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21" fillId="0" fontId="11" numFmtId="0" xfId="0" applyAlignment="1" applyBorder="1" applyFont="1">
      <alignment readingOrder="0" shrinkToFit="0" vertical="bottom" wrapText="1"/>
    </xf>
    <xf borderId="21" fillId="0" fontId="3" numFmtId="0" xfId="0" applyAlignment="1" applyBorder="1" applyFont="1">
      <alignment shrinkToFit="0" wrapText="1"/>
    </xf>
    <xf borderId="21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21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1" fillId="6" fontId="13" numFmtId="0" xfId="0" applyAlignment="1" applyBorder="1" applyFont="1">
      <alignment horizontal="center" readingOrder="0" vertical="bottom"/>
    </xf>
    <xf borderId="20" fillId="0" fontId="15" numFmtId="0" xfId="0" applyAlignment="1" applyBorder="1" applyFont="1">
      <alignment horizontal="center" readingOrder="0" shrinkToFit="0" vertical="bottom" wrapText="1"/>
    </xf>
    <xf borderId="21" fillId="0" fontId="15" numFmtId="0" xfId="0" applyAlignment="1" applyBorder="1" applyFont="1">
      <alignment horizontal="center" shrinkToFit="0" vertical="bottom" wrapText="1"/>
    </xf>
    <xf borderId="19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0" fillId="0" fontId="17" numFmtId="0" xfId="0" applyAlignment="1" applyBorder="1" applyFont="1">
      <alignment horizontal="center" shrinkToFit="0" vertical="bottom" wrapText="1"/>
    </xf>
    <xf borderId="21" fillId="0" fontId="17" numFmtId="0" xfId="0" applyAlignment="1" applyBorder="1" applyFont="1">
      <alignment horizontal="center" readingOrder="0" shrinkToFit="0" vertical="bottom" wrapText="1"/>
    </xf>
    <xf borderId="19" fillId="0" fontId="18" numFmtId="0" xfId="0" applyBorder="1" applyFont="1"/>
    <xf borderId="0" fillId="5" fontId="3" numFmtId="0" xfId="0" applyAlignment="1" applyFont="1">
      <alignment readingOrder="0"/>
    </xf>
    <xf borderId="20" fillId="0" fontId="15" numFmtId="0" xfId="0" applyAlignment="1" applyBorder="1" applyFont="1">
      <alignment horizontal="center" shrinkToFit="0" vertical="bottom" wrapText="1"/>
    </xf>
    <xf borderId="21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0" fillId="0" fontId="19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19" fillId="0" fontId="19" numFmtId="0" xfId="0" applyAlignment="1" applyBorder="1" applyFont="1">
      <alignment horizontal="center" readingOrder="0" shrinkToFit="0" vertical="bottom" wrapText="1"/>
    </xf>
    <xf borderId="20" fillId="0" fontId="20" numFmtId="0" xfId="0" applyAlignment="1" applyBorder="1" applyFont="1">
      <alignment horizontal="center" shrinkToFit="0" vertical="bottom" wrapText="1"/>
    </xf>
    <xf borderId="21" fillId="0" fontId="20" numFmtId="0" xfId="0" applyAlignment="1" applyBorder="1" applyFont="1">
      <alignment horizontal="center" readingOrder="0" shrinkToFit="0" vertical="bottom" wrapText="1"/>
    </xf>
    <xf borderId="20" fillId="0" fontId="19" numFmtId="0" xfId="0" applyAlignment="1" applyBorder="1" applyFont="1">
      <alignment horizontal="center" shrinkToFit="0" vertical="bottom" wrapText="1"/>
    </xf>
    <xf borderId="21" fillId="0" fontId="19" numFmtId="0" xfId="0" applyAlignment="1" applyBorder="1" applyFont="1">
      <alignment horizontal="center" readingOrder="0" shrinkToFit="0" vertical="bottom" wrapText="1"/>
    </xf>
    <xf borderId="8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8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21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21" fillId="0" fontId="12" numFmtId="0" xfId="0" applyAlignment="1" applyBorder="1" applyFont="1">
      <alignment horizontal="right" vertical="bottom"/>
    </xf>
    <xf borderId="21" fillId="0" fontId="12" numFmtId="0" xfId="0" applyAlignment="1" applyBorder="1" applyFont="1">
      <alignment horizontal="right" vertical="bottom"/>
    </xf>
    <xf borderId="21" fillId="0" fontId="12" numFmtId="0" xfId="0" applyAlignment="1" applyBorder="1" applyFont="1">
      <alignment readingOrder="0" vertical="bottom"/>
    </xf>
    <xf borderId="21" fillId="5" fontId="3" numFmtId="49" xfId="0" applyBorder="1" applyFont="1" applyNumberFormat="1"/>
    <xf borderId="21" fillId="7" fontId="3" numFmtId="0" xfId="0" applyBorder="1" applyFill="1" applyFont="1"/>
    <xf borderId="21" fillId="5" fontId="3" numFmtId="49" xfId="0" applyAlignment="1" applyBorder="1" applyFont="1" applyNumberFormat="1">
      <alignment readingOrder="0"/>
    </xf>
    <xf borderId="21" fillId="8" fontId="3" numFmtId="0" xfId="0" applyBorder="1" applyFill="1" applyFont="1"/>
    <xf borderId="21" fillId="9" fontId="3" numFmtId="0" xfId="0" applyBorder="1" applyFill="1" applyFont="1"/>
    <xf borderId="5" fillId="5" fontId="3" numFmtId="0" xfId="0" applyAlignment="1" applyBorder="1" applyFont="1">
      <alignment readingOrder="0"/>
    </xf>
    <xf borderId="27" fillId="5" fontId="3" numFmtId="49" xfId="0" applyAlignment="1" applyBorder="1" applyFont="1" applyNumberFormat="1">
      <alignment readingOrder="0"/>
    </xf>
    <xf borderId="21" fillId="5" fontId="3" numFmtId="0" xfId="0" applyAlignment="1" applyBorder="1" applyFont="1">
      <alignment readingOrder="0"/>
    </xf>
    <xf borderId="11" fillId="10" fontId="10" numFmtId="0" xfId="0" applyAlignment="1" applyBorder="1" applyFill="1" applyFont="1">
      <alignment horizontal="center" readingOrder="0"/>
    </xf>
    <xf borderId="16" fillId="0" fontId="12" numFmtId="0" xfId="0" applyAlignment="1" applyBorder="1" applyFont="1">
      <alignment vertical="bottom"/>
    </xf>
    <xf borderId="19" fillId="5" fontId="12" numFmtId="0" xfId="0" applyAlignment="1" applyBorder="1" applyFont="1">
      <alignment horizontal="center" readingOrder="0"/>
    </xf>
    <xf borderId="20" fillId="0" fontId="12" numFmtId="0" xfId="0" applyAlignment="1" applyBorder="1" applyFont="1">
      <alignment readingOrder="0" vertical="bottom"/>
    </xf>
    <xf borderId="19" fillId="5" fontId="12" numFmtId="49" xfId="0" applyAlignment="1" applyBorder="1" applyFont="1" applyNumberFormat="1">
      <alignment horizontal="center" readingOrder="0" vertical="bottom"/>
    </xf>
    <xf borderId="19" fillId="5" fontId="12" numFmtId="49" xfId="0" applyAlignment="1" applyBorder="1" applyFont="1" applyNumberFormat="1">
      <alignment horizontal="center" vertical="bottom"/>
    </xf>
    <xf borderId="15" fillId="5" fontId="12" numFmtId="49" xfId="0" applyAlignment="1" applyBorder="1" applyFont="1" applyNumberFormat="1">
      <alignment horizontal="center" vertical="bottom"/>
    </xf>
    <xf borderId="15" fillId="5" fontId="12" numFmtId="49" xfId="0" applyAlignment="1" applyBorder="1" applyFont="1" applyNumberFormat="1">
      <alignment horizontal="center" readingOrder="0" vertical="bottom"/>
    </xf>
    <xf borderId="15" fillId="5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10" fontId="13" numFmtId="0" xfId="0" applyAlignment="1" applyBorder="1" applyFont="1">
      <alignment horizontal="center" readingOrder="0" vertical="bottom"/>
    </xf>
    <xf borderId="11" fillId="10" fontId="13" numFmtId="0" xfId="0" applyAlignment="1" applyBorder="1" applyFont="1">
      <alignment horizontal="center" readingOrder="0" vertical="bottom"/>
    </xf>
    <xf borderId="20" fillId="0" fontId="17" numFmtId="0" xfId="0" applyAlignment="1" applyBorder="1" applyFont="1">
      <alignment horizontal="center" readingOrder="0" shrinkToFit="0" vertical="bottom" wrapText="1"/>
    </xf>
    <xf borderId="21" fillId="0" fontId="17" numFmtId="4" xfId="0" applyAlignment="1" applyBorder="1" applyFont="1" applyNumberFormat="1">
      <alignment horizontal="center" readingOrder="0" shrinkToFit="0" vertical="bottom" wrapText="1"/>
    </xf>
    <xf borderId="21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1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1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1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1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1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1" t="s">
        <v>103</v>
      </c>
      <c r="M8" s="11" t="s">
        <v>104</v>
      </c>
    </row>
    <row r="9">
      <c r="A9" s="15" t="s">
        <v>105</v>
      </c>
      <c r="B9" s="16" t="s">
        <v>106</v>
      </c>
      <c r="C9" s="16" t="s">
        <v>107</v>
      </c>
      <c r="D9" s="16" t="s">
        <v>108</v>
      </c>
      <c r="E9" s="16" t="s">
        <v>109</v>
      </c>
      <c r="F9" s="16" t="s">
        <v>110</v>
      </c>
      <c r="G9" s="16" t="s">
        <v>111</v>
      </c>
      <c r="H9" s="16" t="s">
        <v>112</v>
      </c>
      <c r="I9" s="16" t="s">
        <v>113</v>
      </c>
      <c r="J9" s="16" t="s">
        <v>114</v>
      </c>
      <c r="K9" s="16" t="s">
        <v>115</v>
      </c>
      <c r="L9" s="11" t="s">
        <v>116</v>
      </c>
      <c r="M9" s="11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>
        <v>9.0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164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165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166</v>
      </c>
      <c r="B40" s="77" t="s">
        <v>159</v>
      </c>
      <c r="C40" s="78" t="s">
        <v>160</v>
      </c>
      <c r="F40" s="58"/>
      <c r="M40" s="59"/>
    </row>
    <row r="41">
      <c r="A41" s="79" t="s">
        <v>167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168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164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165</v>
      </c>
      <c r="B44" s="84">
        <v>8.0</v>
      </c>
      <c r="C44" s="85">
        <f>C43/B44</f>
        <v>133.5</v>
      </c>
      <c r="F44" s="58"/>
      <c r="M44" s="59"/>
    </row>
    <row r="45">
      <c r="F45" s="86" t="s">
        <v>169</v>
      </c>
      <c r="G45" s="87"/>
      <c r="H45" s="87"/>
      <c r="I45" s="87"/>
      <c r="J45" s="87"/>
      <c r="K45" s="87"/>
      <c r="L45" s="87"/>
      <c r="M45" s="88"/>
    </row>
    <row r="46">
      <c r="A46" s="89" t="s">
        <v>170</v>
      </c>
      <c r="B46" s="89" t="s">
        <v>171</v>
      </c>
      <c r="C46" s="89" t="s">
        <v>172</v>
      </c>
    </row>
    <row r="47">
      <c r="A47" s="90" t="s">
        <v>173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147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174</v>
      </c>
      <c r="B49" s="92">
        <v>50.0</v>
      </c>
      <c r="C49" s="92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94" t="s">
        <v>14</v>
      </c>
      <c r="C2" s="94" t="s">
        <v>15</v>
      </c>
      <c r="D2" s="94" t="s">
        <v>16</v>
      </c>
      <c r="E2" s="94" t="s">
        <v>17</v>
      </c>
      <c r="F2" s="94" t="s">
        <v>18</v>
      </c>
      <c r="G2" s="94" t="s">
        <v>19</v>
      </c>
      <c r="H2" s="94" t="s">
        <v>20</v>
      </c>
      <c r="I2" s="94" t="s">
        <v>21</v>
      </c>
      <c r="J2" s="94" t="s">
        <v>22</v>
      </c>
      <c r="K2" s="94" t="s">
        <v>23</v>
      </c>
      <c r="L2" s="94" t="s">
        <v>24</v>
      </c>
      <c r="M2" s="95" t="s">
        <v>175</v>
      </c>
    </row>
    <row r="3">
      <c r="A3" s="9" t="s">
        <v>27</v>
      </c>
      <c r="B3" s="94" t="s">
        <v>28</v>
      </c>
      <c r="C3" s="94" t="s">
        <v>29</v>
      </c>
      <c r="D3" s="94" t="s">
        <v>30</v>
      </c>
      <c r="E3" s="94" t="s">
        <v>31</v>
      </c>
      <c r="F3" s="94" t="s">
        <v>32</v>
      </c>
      <c r="G3" s="94" t="s">
        <v>33</v>
      </c>
      <c r="H3" s="94" t="s">
        <v>34</v>
      </c>
      <c r="I3" s="94" t="s">
        <v>35</v>
      </c>
      <c r="J3" s="94" t="s">
        <v>36</v>
      </c>
      <c r="K3" s="94" t="s">
        <v>37</v>
      </c>
      <c r="L3" s="96" t="s">
        <v>38</v>
      </c>
      <c r="M3" s="97" t="s">
        <v>176</v>
      </c>
    </row>
    <row r="4">
      <c r="A4" s="9" t="s">
        <v>40</v>
      </c>
      <c r="B4" s="94" t="s">
        <v>41</v>
      </c>
      <c r="C4" s="94" t="s">
        <v>42</v>
      </c>
      <c r="D4" s="94" t="s">
        <v>43</v>
      </c>
      <c r="E4" s="94" t="s">
        <v>44</v>
      </c>
      <c r="F4" s="94" t="s">
        <v>45</v>
      </c>
      <c r="G4" s="94" t="s">
        <v>46</v>
      </c>
      <c r="H4" s="94" t="s">
        <v>47</v>
      </c>
      <c r="I4" s="94" t="s">
        <v>48</v>
      </c>
      <c r="J4" s="94" t="s">
        <v>49</v>
      </c>
      <c r="K4" s="94" t="s">
        <v>50</v>
      </c>
      <c r="L4" s="96" t="s">
        <v>51</v>
      </c>
      <c r="M4" s="98" t="s">
        <v>177</v>
      </c>
    </row>
    <row r="5">
      <c r="A5" s="9" t="s">
        <v>53</v>
      </c>
      <c r="B5" s="94" t="s">
        <v>54</v>
      </c>
      <c r="C5" s="94" t="s">
        <v>55</v>
      </c>
      <c r="D5" s="94" t="s">
        <v>56</v>
      </c>
      <c r="E5" s="94" t="s">
        <v>57</v>
      </c>
      <c r="F5" s="94" t="s">
        <v>58</v>
      </c>
      <c r="G5" s="94" t="s">
        <v>59</v>
      </c>
      <c r="H5" s="94" t="s">
        <v>60</v>
      </c>
      <c r="I5" s="94" t="s">
        <v>61</v>
      </c>
      <c r="J5" s="94" t="s">
        <v>62</v>
      </c>
      <c r="K5" s="94" t="s">
        <v>63</v>
      </c>
      <c r="L5" s="96" t="s">
        <v>64</v>
      </c>
      <c r="M5" s="95" t="s">
        <v>178</v>
      </c>
    </row>
    <row r="6">
      <c r="A6" s="9" t="s">
        <v>66</v>
      </c>
      <c r="B6" s="94" t="s">
        <v>67</v>
      </c>
      <c r="C6" s="94" t="s">
        <v>68</v>
      </c>
      <c r="D6" s="94" t="s">
        <v>69</v>
      </c>
      <c r="E6" s="94" t="s">
        <v>70</v>
      </c>
      <c r="F6" s="94" t="s">
        <v>71</v>
      </c>
      <c r="G6" s="94" t="s">
        <v>72</v>
      </c>
      <c r="H6" s="94" t="s">
        <v>73</v>
      </c>
      <c r="I6" s="94" t="s">
        <v>74</v>
      </c>
      <c r="J6" s="94" t="s">
        <v>75</v>
      </c>
      <c r="K6" s="94" t="s">
        <v>76</v>
      </c>
      <c r="L6" s="96" t="s">
        <v>77</v>
      </c>
      <c r="M6" s="97" t="s">
        <v>179</v>
      </c>
    </row>
    <row r="7">
      <c r="A7" s="9" t="s">
        <v>79</v>
      </c>
      <c r="B7" s="94" t="s">
        <v>80</v>
      </c>
      <c r="C7" s="94" t="s">
        <v>81</v>
      </c>
      <c r="D7" s="94" t="s">
        <v>82</v>
      </c>
      <c r="E7" s="94" t="s">
        <v>83</v>
      </c>
      <c r="F7" s="94" t="s">
        <v>84</v>
      </c>
      <c r="G7" s="94" t="s">
        <v>85</v>
      </c>
      <c r="H7" s="94" t="s">
        <v>86</v>
      </c>
      <c r="I7" s="94" t="s">
        <v>87</v>
      </c>
      <c r="J7" s="94" t="s">
        <v>88</v>
      </c>
      <c r="K7" s="94" t="s">
        <v>89</v>
      </c>
      <c r="L7" s="96" t="s">
        <v>90</v>
      </c>
      <c r="M7" s="98" t="s">
        <v>180</v>
      </c>
    </row>
    <row r="8">
      <c r="A8" s="9" t="s">
        <v>92</v>
      </c>
      <c r="B8" s="94" t="s">
        <v>93</v>
      </c>
      <c r="C8" s="94" t="s">
        <v>94</v>
      </c>
      <c r="D8" s="94" t="s">
        <v>95</v>
      </c>
      <c r="E8" s="94" t="s">
        <v>96</v>
      </c>
      <c r="F8" s="94" t="s">
        <v>97</v>
      </c>
      <c r="G8" s="94" t="s">
        <v>98</v>
      </c>
      <c r="H8" s="94" t="s">
        <v>99</v>
      </c>
      <c r="I8" s="94" t="s">
        <v>100</v>
      </c>
      <c r="J8" s="94" t="s">
        <v>101</v>
      </c>
      <c r="K8" s="94" t="s">
        <v>102</v>
      </c>
      <c r="L8" s="96" t="s">
        <v>103</v>
      </c>
      <c r="M8" s="99" t="s">
        <v>181</v>
      </c>
    </row>
    <row r="9">
      <c r="A9" s="15" t="s">
        <v>105</v>
      </c>
      <c r="B9" s="94" t="s">
        <v>106</v>
      </c>
      <c r="C9" s="94" t="s">
        <v>107</v>
      </c>
      <c r="D9" s="94" t="s">
        <v>108</v>
      </c>
      <c r="E9" s="94" t="s">
        <v>109</v>
      </c>
      <c r="F9" s="94" t="s">
        <v>110</v>
      </c>
      <c r="G9" s="94" t="s">
        <v>111</v>
      </c>
      <c r="H9" s="94" t="s">
        <v>112</v>
      </c>
      <c r="I9" s="94" t="s">
        <v>113</v>
      </c>
      <c r="J9" s="94" t="s">
        <v>114</v>
      </c>
      <c r="K9" s="94" t="s">
        <v>115</v>
      </c>
      <c r="L9" s="100" t="s">
        <v>182</v>
      </c>
      <c r="M9" s="101" t="s">
        <v>183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184</v>
      </c>
    </row>
    <row r="14">
      <c r="A14" s="102" t="s">
        <v>124</v>
      </c>
      <c r="B14" s="23"/>
      <c r="C14" s="24"/>
      <c r="E14" s="102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103" t="s">
        <v>185</v>
      </c>
      <c r="F15" s="29"/>
      <c r="G15" s="29"/>
      <c r="H15" s="30"/>
      <c r="I15" s="104" t="b">
        <v>1</v>
      </c>
    </row>
    <row r="16">
      <c r="A16" s="105" t="s">
        <v>186</v>
      </c>
      <c r="B16" s="36" t="s">
        <v>132</v>
      </c>
      <c r="C16" s="106" t="s">
        <v>133</v>
      </c>
      <c r="E16" s="103" t="s">
        <v>187</v>
      </c>
      <c r="F16" s="29"/>
      <c r="G16" s="29"/>
      <c r="H16" s="30"/>
      <c r="I16" s="104" t="b">
        <v>1</v>
      </c>
    </row>
    <row r="17">
      <c r="A17" s="105" t="s">
        <v>188</v>
      </c>
      <c r="B17" s="36" t="s">
        <v>132</v>
      </c>
      <c r="C17" s="107"/>
      <c r="E17" s="103" t="s">
        <v>189</v>
      </c>
      <c r="F17" s="29"/>
      <c r="G17" s="29"/>
      <c r="H17" s="30"/>
      <c r="I17" s="104" t="b">
        <v>1</v>
      </c>
    </row>
    <row r="18">
      <c r="A18" s="105" t="s">
        <v>190</v>
      </c>
      <c r="B18" s="36" t="s">
        <v>132</v>
      </c>
      <c r="C18" s="106" t="s">
        <v>133</v>
      </c>
      <c r="E18" s="103" t="s">
        <v>191</v>
      </c>
      <c r="F18" s="29"/>
      <c r="G18" s="29"/>
      <c r="H18" s="30"/>
      <c r="I18" s="104" t="b">
        <v>1</v>
      </c>
    </row>
    <row r="19">
      <c r="A19" s="39" t="s">
        <v>192</v>
      </c>
      <c r="B19" s="40" t="s">
        <v>132</v>
      </c>
      <c r="C19" s="108"/>
      <c r="E19" s="103" t="s">
        <v>193</v>
      </c>
      <c r="F19" s="29"/>
      <c r="G19" s="29"/>
      <c r="H19" s="30"/>
      <c r="I19" s="104" t="b">
        <v>1</v>
      </c>
    </row>
    <row r="20">
      <c r="A20" s="39" t="s">
        <v>194</v>
      </c>
      <c r="B20" s="40" t="s">
        <v>132</v>
      </c>
      <c r="C20" s="109" t="s">
        <v>133</v>
      </c>
      <c r="E20" s="103" t="s">
        <v>195</v>
      </c>
      <c r="F20" s="29"/>
      <c r="G20" s="29"/>
      <c r="H20" s="30"/>
      <c r="I20" s="110" t="b">
        <v>1</v>
      </c>
    </row>
    <row r="21">
      <c r="A21" s="45"/>
      <c r="B21" s="45"/>
      <c r="C21" s="45"/>
      <c r="E21" s="111"/>
    </row>
    <row r="22">
      <c r="A22" s="112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196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58"/>
      <c r="L24" s="59"/>
    </row>
    <row r="25">
      <c r="E25" s="58"/>
      <c r="L25" s="59"/>
    </row>
    <row r="26">
      <c r="E26" s="58"/>
      <c r="L26" s="59"/>
    </row>
    <row r="27">
      <c r="A27" s="113" t="s">
        <v>157</v>
      </c>
      <c r="B27" s="23"/>
      <c r="C27" s="24"/>
      <c r="E27" s="58"/>
      <c r="L27" s="59"/>
    </row>
    <row r="28">
      <c r="A28" s="63" t="s">
        <v>197</v>
      </c>
      <c r="B28" s="64" t="s">
        <v>159</v>
      </c>
      <c r="C28" s="65" t="s">
        <v>160</v>
      </c>
      <c r="E28" s="58"/>
      <c r="L28" s="59"/>
    </row>
    <row r="29">
      <c r="A29" s="114" t="s">
        <v>188</v>
      </c>
      <c r="B29" s="115">
        <v>10.0</v>
      </c>
      <c r="C29" s="69">
        <f t="shared" ref="C29:C31" si="1">B29*$B$23*$B$24</f>
        <v>1152</v>
      </c>
      <c r="E29" s="58"/>
      <c r="L29" s="59"/>
    </row>
    <row r="30">
      <c r="A30" s="114" t="s">
        <v>198</v>
      </c>
      <c r="B30" s="115">
        <v>4.0</v>
      </c>
      <c r="C30" s="69">
        <f t="shared" si="1"/>
        <v>460.8</v>
      </c>
      <c r="E30" s="58"/>
      <c r="L30" s="59"/>
    </row>
    <row r="31">
      <c r="A31" s="114" t="s">
        <v>199</v>
      </c>
      <c r="B31" s="115">
        <v>1.0</v>
      </c>
      <c r="C31" s="69">
        <f t="shared" si="1"/>
        <v>115.2</v>
      </c>
      <c r="E31" s="58"/>
      <c r="L31" s="59"/>
    </row>
    <row r="32">
      <c r="A32" s="71" t="s">
        <v>164</v>
      </c>
      <c r="B32" s="116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165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